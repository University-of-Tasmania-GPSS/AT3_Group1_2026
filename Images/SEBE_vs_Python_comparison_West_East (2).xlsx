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esta\KGG375_AT3\AT3_Group1_2026\Images\"/>
    </mc:Choice>
  </mc:AlternateContent>
  <xr:revisionPtr revIDLastSave="0" documentId="11_B1E3A9878F0E831A9EF4A237ADB43AA0949746A7" xr6:coauthVersionLast="47" xr6:coauthVersionMax="47" xr10:uidLastSave="{00000000-0000-0000-0000-000000000000}"/>
  <bookViews>
    <workbookView xWindow="1900" yWindow="1900" windowWidth="14400" windowHeight="7280" tabRatio="500" xr2:uid="{00000000-000D-0000-FFFF-FFFF00000000}"/>
  </bookViews>
  <sheets>
    <sheet name="Combined_Summary" sheetId="1" r:id="rId1"/>
    <sheet name="West_Summary" sheetId="2" r:id="rId2"/>
    <sheet name="West_Roofs" sheetId="3" r:id="rId3"/>
    <sheet name="East_Summary" sheetId="4" r:id="rId4"/>
    <sheet name="East_Roofs" sheetId="5" r:id="rId5"/>
  </sheets>
  <definedNames>
    <definedName name="_xlnm._FilterDatabase" localSheetId="4" hidden="1">East_Roofs!$A$1:$J$280</definedName>
    <definedName name="_xlnm._FilterDatabase" localSheetId="2" hidden="1">West_Roofs!$A$1:$J$582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1" l="1"/>
  <c r="G575" i="3" s="1"/>
  <c r="C18" i="1"/>
  <c r="B18" i="1"/>
  <c r="C17" i="1"/>
  <c r="B17" i="1"/>
  <c r="G33" i="3" l="1"/>
  <c r="H38" i="3"/>
  <c r="H46" i="3"/>
  <c r="H54" i="3"/>
  <c r="H62" i="3"/>
  <c r="H70" i="3"/>
  <c r="G74" i="3"/>
  <c r="G78" i="3"/>
  <c r="H89" i="3"/>
  <c r="G94" i="3"/>
  <c r="H105" i="3"/>
  <c r="G110" i="3"/>
  <c r="H121" i="3"/>
  <c r="G126" i="3"/>
  <c r="H137" i="3"/>
  <c r="G142" i="3"/>
  <c r="G264" i="3"/>
  <c r="H279" i="3"/>
  <c r="G304" i="3"/>
  <c r="H329" i="3"/>
  <c r="G355" i="3"/>
  <c r="H389" i="3"/>
  <c r="H468" i="3"/>
  <c r="I468" i="3" s="1"/>
  <c r="G31" i="3"/>
  <c r="H33" i="3"/>
  <c r="I33" i="3" s="1"/>
  <c r="G36" i="3"/>
  <c r="H41" i="3"/>
  <c r="G44" i="3"/>
  <c r="H49" i="3"/>
  <c r="G52" i="3"/>
  <c r="H57" i="3"/>
  <c r="G60" i="3"/>
  <c r="H65" i="3"/>
  <c r="G68" i="3"/>
  <c r="H74" i="3"/>
  <c r="H79" i="3"/>
  <c r="G84" i="3"/>
  <c r="H95" i="3"/>
  <c r="G100" i="3"/>
  <c r="H111" i="3"/>
  <c r="G116" i="3"/>
  <c r="H127" i="3"/>
  <c r="G132" i="3"/>
  <c r="H143" i="3"/>
  <c r="H151" i="3"/>
  <c r="H159" i="3"/>
  <c r="H167" i="3"/>
  <c r="H175" i="3"/>
  <c r="H183" i="3"/>
  <c r="H191" i="3"/>
  <c r="H199" i="3"/>
  <c r="H207" i="3"/>
  <c r="H215" i="3"/>
  <c r="H223" i="3"/>
  <c r="H231" i="3"/>
  <c r="H239" i="3"/>
  <c r="H247" i="3"/>
  <c r="H255" i="3"/>
  <c r="H266" i="3"/>
  <c r="H282" i="3"/>
  <c r="G307" i="3"/>
  <c r="H395" i="3"/>
  <c r="H479" i="3"/>
  <c r="G3" i="3"/>
  <c r="G5" i="3"/>
  <c r="G7" i="3"/>
  <c r="G9" i="3"/>
  <c r="G11" i="3"/>
  <c r="G13" i="3"/>
  <c r="G15" i="3"/>
  <c r="G17" i="3"/>
  <c r="G19" i="3"/>
  <c r="G21" i="3"/>
  <c r="G23" i="3"/>
  <c r="G25" i="3"/>
  <c r="G27" i="3"/>
  <c r="G29" i="3"/>
  <c r="H31" i="3"/>
  <c r="H36" i="3"/>
  <c r="I36" i="3" s="1"/>
  <c r="H44" i="3"/>
  <c r="I44" i="3" s="1"/>
  <c r="H52" i="3"/>
  <c r="H60" i="3"/>
  <c r="I60" i="3" s="1"/>
  <c r="H68" i="3"/>
  <c r="H71" i="3"/>
  <c r="H75" i="3"/>
  <c r="H85" i="3"/>
  <c r="G90" i="3"/>
  <c r="H101" i="3"/>
  <c r="G106" i="3"/>
  <c r="H117" i="3"/>
  <c r="G122" i="3"/>
  <c r="H133" i="3"/>
  <c r="G138" i="3"/>
  <c r="G256" i="3"/>
  <c r="G336" i="3"/>
  <c r="H361" i="3"/>
  <c r="H404" i="3"/>
  <c r="H3" i="3"/>
  <c r="I3" i="3" s="1"/>
  <c r="H5" i="3"/>
  <c r="I5" i="3" s="1"/>
  <c r="H7" i="3"/>
  <c r="H9" i="3"/>
  <c r="I9" i="3" s="1"/>
  <c r="H11" i="3"/>
  <c r="I11" i="3" s="1"/>
  <c r="H13" i="3"/>
  <c r="I13" i="3" s="1"/>
  <c r="H15" i="3"/>
  <c r="I15" i="3" s="1"/>
  <c r="H17" i="3"/>
  <c r="H19" i="3"/>
  <c r="I19" i="3" s="1"/>
  <c r="H21" i="3"/>
  <c r="I21" i="3" s="1"/>
  <c r="H23" i="3"/>
  <c r="H25" i="3"/>
  <c r="I25" i="3" s="1"/>
  <c r="H27" i="3"/>
  <c r="I27" i="3" s="1"/>
  <c r="H29" i="3"/>
  <c r="I29" i="3" s="1"/>
  <c r="G34" i="3"/>
  <c r="H39" i="3"/>
  <c r="G42" i="3"/>
  <c r="H47" i="3"/>
  <c r="G50" i="3"/>
  <c r="H55" i="3"/>
  <c r="G58" i="3"/>
  <c r="H63" i="3"/>
  <c r="I63" i="3" s="1"/>
  <c r="G66" i="3"/>
  <c r="G80" i="3"/>
  <c r="H91" i="3"/>
  <c r="G96" i="3"/>
  <c r="H107" i="3"/>
  <c r="G112" i="3"/>
  <c r="H123" i="3"/>
  <c r="G128" i="3"/>
  <c r="H139" i="3"/>
  <c r="H145" i="3"/>
  <c r="H153" i="3"/>
  <c r="H161" i="3"/>
  <c r="H169" i="3"/>
  <c r="H177" i="3"/>
  <c r="H185" i="3"/>
  <c r="H193" i="3"/>
  <c r="H201" i="3"/>
  <c r="H209" i="3"/>
  <c r="H217" i="3"/>
  <c r="H225" i="3"/>
  <c r="H233" i="3"/>
  <c r="H241" i="3"/>
  <c r="H249" i="3"/>
  <c r="H258" i="3"/>
  <c r="G288" i="3"/>
  <c r="H313" i="3"/>
  <c r="G339" i="3"/>
  <c r="H415" i="3"/>
  <c r="G511" i="3"/>
  <c r="G32" i="3"/>
  <c r="H34" i="3"/>
  <c r="H42" i="3"/>
  <c r="I42" i="3" s="1"/>
  <c r="H50" i="3"/>
  <c r="I50" i="3" s="1"/>
  <c r="H58" i="3"/>
  <c r="H66" i="3"/>
  <c r="I66" i="3" s="1"/>
  <c r="G72" i="3"/>
  <c r="G76" i="3"/>
  <c r="H81" i="3"/>
  <c r="G86" i="3"/>
  <c r="H97" i="3"/>
  <c r="G102" i="3"/>
  <c r="H113" i="3"/>
  <c r="G118" i="3"/>
  <c r="H129" i="3"/>
  <c r="G134" i="3"/>
  <c r="G269" i="3"/>
  <c r="G291" i="3"/>
  <c r="G532" i="3"/>
  <c r="G30" i="3"/>
  <c r="H32" i="3"/>
  <c r="H37" i="3"/>
  <c r="G40" i="3"/>
  <c r="H45" i="3"/>
  <c r="G48" i="3"/>
  <c r="H53" i="3"/>
  <c r="G56" i="3"/>
  <c r="H61" i="3"/>
  <c r="G64" i="3"/>
  <c r="H69" i="3"/>
  <c r="H72" i="3"/>
  <c r="I72" i="3" s="1"/>
  <c r="H76" i="3"/>
  <c r="I76" i="3" s="1"/>
  <c r="H87" i="3"/>
  <c r="G92" i="3"/>
  <c r="H103" i="3"/>
  <c r="G108" i="3"/>
  <c r="H119" i="3"/>
  <c r="G124" i="3"/>
  <c r="H135" i="3"/>
  <c r="G140" i="3"/>
  <c r="H147" i="3"/>
  <c r="H155" i="3"/>
  <c r="H163" i="3"/>
  <c r="I163" i="3" s="1"/>
  <c r="H171" i="3"/>
  <c r="H179" i="3"/>
  <c r="H187" i="3"/>
  <c r="H195" i="3"/>
  <c r="H203" i="3"/>
  <c r="H211" i="3"/>
  <c r="H219" i="3"/>
  <c r="H227" i="3"/>
  <c r="I227" i="3" s="1"/>
  <c r="H235" i="3"/>
  <c r="H243" i="3"/>
  <c r="H251" i="3"/>
  <c r="H271" i="3"/>
  <c r="G320" i="3"/>
  <c r="H345" i="3"/>
  <c r="H373" i="3"/>
  <c r="H436" i="3"/>
  <c r="G2" i="3"/>
  <c r="G4" i="3"/>
  <c r="G6" i="3"/>
  <c r="G8" i="3"/>
  <c r="G10" i="3"/>
  <c r="G12" i="3"/>
  <c r="G14" i="3"/>
  <c r="G16" i="3"/>
  <c r="G18" i="3"/>
  <c r="G20" i="3"/>
  <c r="G22" i="3"/>
  <c r="G24" i="3"/>
  <c r="G26" i="3"/>
  <c r="G28" i="3"/>
  <c r="H30" i="3"/>
  <c r="H40" i="3"/>
  <c r="I40" i="3" s="1"/>
  <c r="H48" i="3"/>
  <c r="I48" i="3" s="1"/>
  <c r="H56" i="3"/>
  <c r="H64" i="3"/>
  <c r="I64" i="3" s="1"/>
  <c r="H73" i="3"/>
  <c r="H77" i="3"/>
  <c r="G82" i="3"/>
  <c r="H93" i="3"/>
  <c r="G98" i="3"/>
  <c r="H109" i="3"/>
  <c r="G114" i="3"/>
  <c r="H125" i="3"/>
  <c r="G130" i="3"/>
  <c r="H141" i="3"/>
  <c r="G261" i="3"/>
  <c r="H274" i="3"/>
  <c r="H297" i="3"/>
  <c r="I297" i="3" s="1"/>
  <c r="G323" i="3"/>
  <c r="G379" i="3"/>
  <c r="H447" i="3"/>
  <c r="H280" i="5"/>
  <c r="H278" i="5"/>
  <c r="I278" i="5" s="1"/>
  <c r="H276" i="5"/>
  <c r="H274" i="5"/>
  <c r="I274" i="5" s="1"/>
  <c r="H272" i="5"/>
  <c r="I272" i="5" s="1"/>
  <c r="H270" i="5"/>
  <c r="I270" i="5" s="1"/>
  <c r="H268" i="5"/>
  <c r="H266" i="5"/>
  <c r="H264" i="5"/>
  <c r="H262" i="5"/>
  <c r="I262" i="5" s="1"/>
  <c r="H260" i="5"/>
  <c r="H258" i="5"/>
  <c r="I258" i="5" s="1"/>
  <c r="H256" i="5"/>
  <c r="I256" i="5" s="1"/>
  <c r="H254" i="5"/>
  <c r="I254" i="5" s="1"/>
  <c r="H252" i="5"/>
  <c r="H250" i="5"/>
  <c r="H248" i="5"/>
  <c r="H246" i="5"/>
  <c r="I246" i="5" s="1"/>
  <c r="H244" i="5"/>
  <c r="H242" i="5"/>
  <c r="I242" i="5" s="1"/>
  <c r="H240" i="5"/>
  <c r="I240" i="5" s="1"/>
  <c r="H238" i="5"/>
  <c r="I238" i="5" s="1"/>
  <c r="H236" i="5"/>
  <c r="H234" i="5"/>
  <c r="H232" i="5"/>
  <c r="H230" i="5"/>
  <c r="I230" i="5" s="1"/>
  <c r="H228" i="5"/>
  <c r="H226" i="5"/>
  <c r="I226" i="5" s="1"/>
  <c r="H224" i="5"/>
  <c r="I224" i="5" s="1"/>
  <c r="H222" i="5"/>
  <c r="I222" i="5" s="1"/>
  <c r="H220" i="5"/>
  <c r="H218" i="5"/>
  <c r="H216" i="5"/>
  <c r="H214" i="5"/>
  <c r="I214" i="5" s="1"/>
  <c r="H212" i="5"/>
  <c r="H210" i="5"/>
  <c r="I210" i="5" s="1"/>
  <c r="H208" i="5"/>
  <c r="I208" i="5" s="1"/>
  <c r="H206" i="5"/>
  <c r="I206" i="5" s="1"/>
  <c r="H204" i="5"/>
  <c r="H202" i="5"/>
  <c r="H200" i="5"/>
  <c r="H198" i="5"/>
  <c r="I198" i="5" s="1"/>
  <c r="H196" i="5"/>
  <c r="H194" i="5"/>
  <c r="I194" i="5" s="1"/>
  <c r="H192" i="5"/>
  <c r="I192" i="5" s="1"/>
  <c r="H190" i="5"/>
  <c r="I190" i="5" s="1"/>
  <c r="H188" i="5"/>
  <c r="H186" i="5"/>
  <c r="H184" i="5"/>
  <c r="H182" i="5"/>
  <c r="I182" i="5" s="1"/>
  <c r="H180" i="5"/>
  <c r="H178" i="5"/>
  <c r="I178" i="5" s="1"/>
  <c r="H176" i="5"/>
  <c r="I176" i="5" s="1"/>
  <c r="H174" i="5"/>
  <c r="I174" i="5" s="1"/>
  <c r="H172" i="5"/>
  <c r="H170" i="5"/>
  <c r="H168" i="5"/>
  <c r="H166" i="5"/>
  <c r="I166" i="5" s="1"/>
  <c r="H164" i="5"/>
  <c r="H162" i="5"/>
  <c r="I162" i="5" s="1"/>
  <c r="H160" i="5"/>
  <c r="I160" i="5" s="1"/>
  <c r="H158" i="5"/>
  <c r="I158" i="5" s="1"/>
  <c r="H156" i="5"/>
  <c r="H154" i="5"/>
  <c r="H152" i="5"/>
  <c r="H150" i="5"/>
  <c r="I150" i="5" s="1"/>
  <c r="H148" i="5"/>
  <c r="H146" i="5"/>
  <c r="I146" i="5" s="1"/>
  <c r="H144" i="5"/>
  <c r="I144" i="5" s="1"/>
  <c r="H142" i="5"/>
  <c r="I142" i="5" s="1"/>
  <c r="H140" i="5"/>
  <c r="H138" i="5"/>
  <c r="H136" i="5"/>
  <c r="H134" i="5"/>
  <c r="I134" i="5" s="1"/>
  <c r="H132" i="5"/>
  <c r="H130" i="5"/>
  <c r="I130" i="5" s="1"/>
  <c r="H128" i="5"/>
  <c r="I128" i="5" s="1"/>
  <c r="H126" i="5"/>
  <c r="I126" i="5" s="1"/>
  <c r="H124" i="5"/>
  <c r="H122" i="5"/>
  <c r="H120" i="5"/>
  <c r="H118" i="5"/>
  <c r="I118" i="5" s="1"/>
  <c r="H116" i="5"/>
  <c r="H114" i="5"/>
  <c r="I114" i="5" s="1"/>
  <c r="H112" i="5"/>
  <c r="I112" i="5" s="1"/>
  <c r="G280" i="5"/>
  <c r="G278" i="5"/>
  <c r="G276" i="5"/>
  <c r="G274" i="5"/>
  <c r="G272" i="5"/>
  <c r="G270" i="5"/>
  <c r="G268" i="5"/>
  <c r="G266" i="5"/>
  <c r="G264" i="5"/>
  <c r="G262" i="5"/>
  <c r="G260" i="5"/>
  <c r="G258" i="5"/>
  <c r="G256" i="5"/>
  <c r="G254" i="5"/>
  <c r="G252" i="5"/>
  <c r="G250" i="5"/>
  <c r="G248" i="5"/>
  <c r="G246" i="5"/>
  <c r="G244" i="5"/>
  <c r="G242" i="5"/>
  <c r="G240" i="5"/>
  <c r="G238" i="5"/>
  <c r="G236" i="5"/>
  <c r="G234" i="5"/>
  <c r="G232" i="5"/>
  <c r="G230" i="5"/>
  <c r="G228" i="5"/>
  <c r="G226" i="5"/>
  <c r="G224" i="5"/>
  <c r="G222" i="5"/>
  <c r="G220" i="5"/>
  <c r="G218" i="5"/>
  <c r="G216" i="5"/>
  <c r="G214" i="5"/>
  <c r="G212" i="5"/>
  <c r="G210" i="5"/>
  <c r="G208" i="5"/>
  <c r="G206" i="5"/>
  <c r="G204" i="5"/>
  <c r="G202" i="5"/>
  <c r="G200" i="5"/>
  <c r="G198" i="5"/>
  <c r="G196" i="5"/>
  <c r="G194" i="5"/>
  <c r="G192" i="5"/>
  <c r="G190" i="5"/>
  <c r="G188" i="5"/>
  <c r="G186" i="5"/>
  <c r="G184" i="5"/>
  <c r="G182" i="5"/>
  <c r="G180" i="5"/>
  <c r="G178" i="5"/>
  <c r="G176" i="5"/>
  <c r="G174" i="5"/>
  <c r="G172" i="5"/>
  <c r="G170" i="5"/>
  <c r="G168" i="5"/>
  <c r="G166" i="5"/>
  <c r="G164" i="5"/>
  <c r="G162" i="5"/>
  <c r="G160" i="5"/>
  <c r="G158" i="5"/>
  <c r="G156" i="5"/>
  <c r="G154" i="5"/>
  <c r="G152" i="5"/>
  <c r="G150" i="5"/>
  <c r="G148" i="5"/>
  <c r="G146" i="5"/>
  <c r="G144" i="5"/>
  <c r="G142" i="5"/>
  <c r="G140" i="5"/>
  <c r="G138" i="5"/>
  <c r="G136" i="5"/>
  <c r="G134" i="5"/>
  <c r="G132" i="5"/>
  <c r="G130" i="5"/>
  <c r="G128" i="5"/>
  <c r="G126" i="5"/>
  <c r="G124" i="5"/>
  <c r="G122" i="5"/>
  <c r="G120" i="5"/>
  <c r="G118" i="5"/>
  <c r="G116" i="5"/>
  <c r="G114" i="5"/>
  <c r="G112" i="5"/>
  <c r="H279" i="5"/>
  <c r="H277" i="5"/>
  <c r="I277" i="5" s="1"/>
  <c r="H275" i="5"/>
  <c r="H273" i="5"/>
  <c r="H271" i="5"/>
  <c r="H269" i="5"/>
  <c r="H267" i="5"/>
  <c r="H265" i="5"/>
  <c r="I265" i="5" s="1"/>
  <c r="H263" i="5"/>
  <c r="H261" i="5"/>
  <c r="H259" i="5"/>
  <c r="I259" i="5" s="1"/>
  <c r="H257" i="5"/>
  <c r="H255" i="5"/>
  <c r="H253" i="5"/>
  <c r="I253" i="5" s="1"/>
  <c r="H251" i="5"/>
  <c r="H249" i="5"/>
  <c r="H247" i="5"/>
  <c r="H245" i="5"/>
  <c r="H243" i="5"/>
  <c r="I243" i="5" s="1"/>
  <c r="H241" i="5"/>
  <c r="H239" i="5"/>
  <c r="H237" i="5"/>
  <c r="H235" i="5"/>
  <c r="H233" i="5"/>
  <c r="H231" i="5"/>
  <c r="H229" i="5"/>
  <c r="I229" i="5" s="1"/>
  <c r="H227" i="5"/>
  <c r="I227" i="5" s="1"/>
  <c r="H225" i="5"/>
  <c r="H223" i="5"/>
  <c r="H221" i="5"/>
  <c r="H219" i="5"/>
  <c r="H217" i="5"/>
  <c r="H215" i="5"/>
  <c r="H213" i="5"/>
  <c r="I213" i="5" s="1"/>
  <c r="H211" i="5"/>
  <c r="H209" i="5"/>
  <c r="H207" i="5"/>
  <c r="H205" i="5"/>
  <c r="H203" i="5"/>
  <c r="H201" i="5"/>
  <c r="H199" i="5"/>
  <c r="H197" i="5"/>
  <c r="H195" i="5"/>
  <c r="I195" i="5" s="1"/>
  <c r="H193" i="5"/>
  <c r="H191" i="5"/>
  <c r="H189" i="5"/>
  <c r="I189" i="5" s="1"/>
  <c r="H187" i="5"/>
  <c r="H185" i="5"/>
  <c r="I185" i="5" s="1"/>
  <c r="H183" i="5"/>
  <c r="H181" i="5"/>
  <c r="H179" i="5"/>
  <c r="I179" i="5" s="1"/>
  <c r="H177" i="5"/>
  <c r="H175" i="5"/>
  <c r="H173" i="5"/>
  <c r="H171" i="5"/>
  <c r="H169" i="5"/>
  <c r="H167" i="5"/>
  <c r="H165" i="5"/>
  <c r="I165" i="5" s="1"/>
  <c r="H163" i="5"/>
  <c r="I163" i="5" s="1"/>
  <c r="H161" i="5"/>
  <c r="H159" i="5"/>
  <c r="H157" i="5"/>
  <c r="H155" i="5"/>
  <c r="H153" i="5"/>
  <c r="H151" i="5"/>
  <c r="H149" i="5"/>
  <c r="I149" i="5" s="1"/>
  <c r="H147" i="5"/>
  <c r="H145" i="5"/>
  <c r="I145" i="5" s="1"/>
  <c r="H143" i="5"/>
  <c r="H141" i="5"/>
  <c r="H139" i="5"/>
  <c r="H137" i="5"/>
  <c r="I137" i="5" s="1"/>
  <c r="H135" i="5"/>
  <c r="H133" i="5"/>
  <c r="H131" i="5"/>
  <c r="I131" i="5" s="1"/>
  <c r="H129" i="5"/>
  <c r="I129" i="5" s="1"/>
  <c r="H127" i="5"/>
  <c r="H125" i="5"/>
  <c r="I125" i="5" s="1"/>
  <c r="H123" i="5"/>
  <c r="H121" i="5"/>
  <c r="H119" i="5"/>
  <c r="H117" i="5"/>
  <c r="H115" i="5"/>
  <c r="I115" i="5" s="1"/>
  <c r="H113" i="5"/>
  <c r="H111" i="5"/>
  <c r="G279" i="5"/>
  <c r="G277" i="5"/>
  <c r="G269" i="5"/>
  <c r="G261" i="5"/>
  <c r="G253" i="5"/>
  <c r="G245" i="5"/>
  <c r="G237" i="5"/>
  <c r="G229" i="5"/>
  <c r="G221" i="5"/>
  <c r="G213" i="5"/>
  <c r="G205" i="5"/>
  <c r="G197" i="5"/>
  <c r="G189" i="5"/>
  <c r="G181" i="5"/>
  <c r="G173" i="5"/>
  <c r="G165" i="5"/>
  <c r="G157" i="5"/>
  <c r="G149" i="5"/>
  <c r="G141" i="5"/>
  <c r="G133" i="5"/>
  <c r="G125" i="5"/>
  <c r="G117" i="5"/>
  <c r="H110" i="5"/>
  <c r="H108" i="5"/>
  <c r="H106" i="5"/>
  <c r="I106" i="5" s="1"/>
  <c r="H104" i="5"/>
  <c r="H102" i="5"/>
  <c r="H100" i="5"/>
  <c r="I100" i="5" s="1"/>
  <c r="H98" i="5"/>
  <c r="H96" i="5"/>
  <c r="I96" i="5" s="1"/>
  <c r="H94" i="5"/>
  <c r="H92" i="5"/>
  <c r="H90" i="5"/>
  <c r="I90" i="5" s="1"/>
  <c r="H88" i="5"/>
  <c r="H86" i="5"/>
  <c r="H84" i="5"/>
  <c r="I84" i="5" s="1"/>
  <c r="H82" i="5"/>
  <c r="H80" i="5"/>
  <c r="I80" i="5" s="1"/>
  <c r="H78" i="5"/>
  <c r="H76" i="5"/>
  <c r="H74" i="5"/>
  <c r="I74" i="5" s="1"/>
  <c r="H72" i="5"/>
  <c r="H70" i="5"/>
  <c r="H68" i="5"/>
  <c r="I68" i="5" s="1"/>
  <c r="H66" i="5"/>
  <c r="H64" i="5"/>
  <c r="I64" i="5" s="1"/>
  <c r="H62" i="5"/>
  <c r="H60" i="5"/>
  <c r="H58" i="5"/>
  <c r="I58" i="5" s="1"/>
  <c r="H56" i="5"/>
  <c r="H54" i="5"/>
  <c r="H52" i="5"/>
  <c r="I52" i="5" s="1"/>
  <c r="H50" i="5"/>
  <c r="H48" i="5"/>
  <c r="I48" i="5" s="1"/>
  <c r="H46" i="5"/>
  <c r="H44" i="5"/>
  <c r="H42" i="5"/>
  <c r="I42" i="5" s="1"/>
  <c r="H40" i="5"/>
  <c r="H38" i="5"/>
  <c r="H36" i="5"/>
  <c r="I36" i="5" s="1"/>
  <c r="H34" i="5"/>
  <c r="H32" i="5"/>
  <c r="I32" i="5" s="1"/>
  <c r="H30" i="5"/>
  <c r="H28" i="5"/>
  <c r="H26" i="5"/>
  <c r="I26" i="5" s="1"/>
  <c r="H24" i="5"/>
  <c r="H22" i="5"/>
  <c r="H20" i="5"/>
  <c r="I20" i="5" s="1"/>
  <c r="H18" i="5"/>
  <c r="H16" i="5"/>
  <c r="I16" i="5" s="1"/>
  <c r="H14" i="5"/>
  <c r="H12" i="5"/>
  <c r="H10" i="5"/>
  <c r="I10" i="5" s="1"/>
  <c r="H8" i="5"/>
  <c r="H6" i="5"/>
  <c r="H4" i="5"/>
  <c r="I4" i="5" s="1"/>
  <c r="H2" i="5"/>
  <c r="G275" i="5"/>
  <c r="G267" i="5"/>
  <c r="G259" i="5"/>
  <c r="G251" i="5"/>
  <c r="G243" i="5"/>
  <c r="G235" i="5"/>
  <c r="G227" i="5"/>
  <c r="G219" i="5"/>
  <c r="G211" i="5"/>
  <c r="G203" i="5"/>
  <c r="G195" i="5"/>
  <c r="G187" i="5"/>
  <c r="G179" i="5"/>
  <c r="G171" i="5"/>
  <c r="G163" i="5"/>
  <c r="G155" i="5"/>
  <c r="G147" i="5"/>
  <c r="G139" i="5"/>
  <c r="G131" i="5"/>
  <c r="G123" i="5"/>
  <c r="G115" i="5"/>
  <c r="G110" i="5"/>
  <c r="G108" i="5"/>
  <c r="G106" i="5"/>
  <c r="G104" i="5"/>
  <c r="G102" i="5"/>
  <c r="G100" i="5"/>
  <c r="G98" i="5"/>
  <c r="G96" i="5"/>
  <c r="G94" i="5"/>
  <c r="G92" i="5"/>
  <c r="G90" i="5"/>
  <c r="G88" i="5"/>
  <c r="G86" i="5"/>
  <c r="G84" i="5"/>
  <c r="G82" i="5"/>
  <c r="G80" i="5"/>
  <c r="G78" i="5"/>
  <c r="G76" i="5"/>
  <c r="G74" i="5"/>
  <c r="G72" i="5"/>
  <c r="G70" i="5"/>
  <c r="G68" i="5"/>
  <c r="G66" i="5"/>
  <c r="G64" i="5"/>
  <c r="G62" i="5"/>
  <c r="G60" i="5"/>
  <c r="G58" i="5"/>
  <c r="G56" i="5"/>
  <c r="G54" i="5"/>
  <c r="G52" i="5"/>
  <c r="G50" i="5"/>
  <c r="G48" i="5"/>
  <c r="G46" i="5"/>
  <c r="G44" i="5"/>
  <c r="G42" i="5"/>
  <c r="G40" i="5"/>
  <c r="G38" i="5"/>
  <c r="G36" i="5"/>
  <c r="G34" i="5"/>
  <c r="G32" i="5"/>
  <c r="G30" i="5"/>
  <c r="G28" i="5"/>
  <c r="G26" i="5"/>
  <c r="G24" i="5"/>
  <c r="G22" i="5"/>
  <c r="G20" i="5"/>
  <c r="G18" i="5"/>
  <c r="G16" i="5"/>
  <c r="G14" i="5"/>
  <c r="G12" i="5"/>
  <c r="G10" i="5"/>
  <c r="G8" i="5"/>
  <c r="G6" i="5"/>
  <c r="G4" i="5"/>
  <c r="G2" i="5"/>
  <c r="H109" i="5"/>
  <c r="H107" i="5"/>
  <c r="H105" i="5"/>
  <c r="H103" i="5"/>
  <c r="I103" i="5" s="1"/>
  <c r="H101" i="5"/>
  <c r="I101" i="5" s="1"/>
  <c r="H99" i="5"/>
  <c r="I99" i="5" s="1"/>
  <c r="H97" i="5"/>
  <c r="H95" i="5"/>
  <c r="I95" i="5" s="1"/>
  <c r="H93" i="5"/>
  <c r="H91" i="5"/>
  <c r="H89" i="5"/>
  <c r="H87" i="5"/>
  <c r="I87" i="5" s="1"/>
  <c r="H85" i="5"/>
  <c r="I85" i="5" s="1"/>
  <c r="H83" i="5"/>
  <c r="I83" i="5" s="1"/>
  <c r="H81" i="5"/>
  <c r="H79" i="5"/>
  <c r="I79" i="5" s="1"/>
  <c r="H77" i="5"/>
  <c r="H75" i="5"/>
  <c r="H73" i="5"/>
  <c r="H71" i="5"/>
  <c r="I71" i="5" s="1"/>
  <c r="H69" i="5"/>
  <c r="I69" i="5" s="1"/>
  <c r="H67" i="5"/>
  <c r="I67" i="5" s="1"/>
  <c r="H65" i="5"/>
  <c r="H63" i="5"/>
  <c r="I63" i="5" s="1"/>
  <c r="H61" i="5"/>
  <c r="H59" i="5"/>
  <c r="H57" i="5"/>
  <c r="H55" i="5"/>
  <c r="I55" i="5" s="1"/>
  <c r="H53" i="5"/>
  <c r="I53" i="5" s="1"/>
  <c r="H51" i="5"/>
  <c r="I51" i="5" s="1"/>
  <c r="H49" i="5"/>
  <c r="H47" i="5"/>
  <c r="I47" i="5" s="1"/>
  <c r="H45" i="5"/>
  <c r="H43" i="5"/>
  <c r="H41" i="5"/>
  <c r="H39" i="5"/>
  <c r="H37" i="5"/>
  <c r="I37" i="5" s="1"/>
  <c r="H35" i="5"/>
  <c r="I35" i="5" s="1"/>
  <c r="H33" i="5"/>
  <c r="H31" i="5"/>
  <c r="H29" i="5"/>
  <c r="H27" i="5"/>
  <c r="H25" i="5"/>
  <c r="H23" i="5"/>
  <c r="H21" i="5"/>
  <c r="I21" i="5" s="1"/>
  <c r="H19" i="5"/>
  <c r="I19" i="5" s="1"/>
  <c r="H17" i="5"/>
  <c r="H15" i="5"/>
  <c r="I15" i="5" s="1"/>
  <c r="H13" i="5"/>
  <c r="H11" i="5"/>
  <c r="H9" i="5"/>
  <c r="H7" i="5"/>
  <c r="H5" i="5"/>
  <c r="I5" i="5" s="1"/>
  <c r="H3" i="5"/>
  <c r="I3" i="5" s="1"/>
  <c r="G271" i="5"/>
  <c r="G263" i="5"/>
  <c r="G255" i="5"/>
  <c r="G247" i="5"/>
  <c r="G239" i="5"/>
  <c r="G231" i="5"/>
  <c r="G223" i="5"/>
  <c r="G215" i="5"/>
  <c r="G207" i="5"/>
  <c r="G199" i="5"/>
  <c r="G191" i="5"/>
  <c r="G183" i="5"/>
  <c r="G175" i="5"/>
  <c r="G167" i="5"/>
  <c r="G159" i="5"/>
  <c r="G151" i="5"/>
  <c r="G143" i="5"/>
  <c r="G135" i="5"/>
  <c r="G127" i="5"/>
  <c r="G119" i="5"/>
  <c r="G111" i="5"/>
  <c r="G109" i="5"/>
  <c r="G107" i="5"/>
  <c r="G105" i="5"/>
  <c r="G103" i="5"/>
  <c r="G101" i="5"/>
  <c r="G99" i="5"/>
  <c r="G97" i="5"/>
  <c r="G95" i="5"/>
  <c r="G93" i="5"/>
  <c r="G91" i="5"/>
  <c r="G89" i="5"/>
  <c r="G87" i="5"/>
  <c r="G85" i="5"/>
  <c r="G83" i="5"/>
  <c r="G81" i="5"/>
  <c r="G79" i="5"/>
  <c r="G77" i="5"/>
  <c r="G75" i="5"/>
  <c r="G73" i="5"/>
  <c r="G71" i="5"/>
  <c r="G69" i="5"/>
  <c r="G67" i="5"/>
  <c r="G65" i="5"/>
  <c r="G63" i="5"/>
  <c r="G61" i="5"/>
  <c r="G59" i="5"/>
  <c r="G57" i="5"/>
  <c r="G55" i="5"/>
  <c r="G53" i="5"/>
  <c r="G51" i="5"/>
  <c r="G49" i="5"/>
  <c r="G47" i="5"/>
  <c r="G45" i="5"/>
  <c r="G273" i="5"/>
  <c r="G209" i="5"/>
  <c r="G145" i="5"/>
  <c r="H582" i="3"/>
  <c r="I582" i="3" s="1"/>
  <c r="H577" i="3"/>
  <c r="H574" i="3"/>
  <c r="I574" i="3" s="1"/>
  <c r="H569" i="3"/>
  <c r="H566" i="3"/>
  <c r="H561" i="3"/>
  <c r="I561" i="3" s="1"/>
  <c r="H558" i="3"/>
  <c r="I558" i="3" s="1"/>
  <c r="H553" i="3"/>
  <c r="H550" i="3"/>
  <c r="I550" i="3" s="1"/>
  <c r="H545" i="3"/>
  <c r="H542" i="3"/>
  <c r="I542" i="3" s="1"/>
  <c r="H537" i="3"/>
  <c r="H534" i="3"/>
  <c r="H529" i="3"/>
  <c r="I529" i="3" s="1"/>
  <c r="H526" i="3"/>
  <c r="I526" i="3" s="1"/>
  <c r="H521" i="3"/>
  <c r="H518" i="3"/>
  <c r="I518" i="3" s="1"/>
  <c r="H513" i="3"/>
  <c r="H510" i="3"/>
  <c r="I510" i="3" s="1"/>
  <c r="H505" i="3"/>
  <c r="H502" i="3"/>
  <c r="H497" i="3"/>
  <c r="I497" i="3" s="1"/>
  <c r="H494" i="3"/>
  <c r="I494" i="3" s="1"/>
  <c r="H489" i="3"/>
  <c r="H486" i="3"/>
  <c r="I486" i="3" s="1"/>
  <c r="H481" i="3"/>
  <c r="H478" i="3"/>
  <c r="I478" i="3" s="1"/>
  <c r="H473" i="3"/>
  <c r="H470" i="3"/>
  <c r="H465" i="3"/>
  <c r="I465" i="3" s="1"/>
  <c r="H462" i="3"/>
  <c r="I462" i="3" s="1"/>
  <c r="H457" i="3"/>
  <c r="H454" i="3"/>
  <c r="I454" i="3" s="1"/>
  <c r="H449" i="3"/>
  <c r="H446" i="3"/>
  <c r="I446" i="3" s="1"/>
  <c r="H441" i="3"/>
  <c r="H438" i="3"/>
  <c r="H433" i="3"/>
  <c r="I433" i="3" s="1"/>
  <c r="H430" i="3"/>
  <c r="I430" i="3" s="1"/>
  <c r="H425" i="3"/>
  <c r="H422" i="3"/>
  <c r="I422" i="3" s="1"/>
  <c r="H417" i="3"/>
  <c r="H414" i="3"/>
  <c r="I414" i="3" s="1"/>
  <c r="H409" i="3"/>
  <c r="H406" i="3"/>
  <c r="H401" i="3"/>
  <c r="I401" i="3" s="1"/>
  <c r="G399" i="3"/>
  <c r="G265" i="5"/>
  <c r="G201" i="5"/>
  <c r="G137" i="5"/>
  <c r="G41" i="5"/>
  <c r="G33" i="5"/>
  <c r="G25" i="5"/>
  <c r="G17" i="5"/>
  <c r="G9" i="5"/>
  <c r="G582" i="3"/>
  <c r="G577" i="3"/>
  <c r="G574" i="3"/>
  <c r="G569" i="3"/>
  <c r="G566" i="3"/>
  <c r="G561" i="3"/>
  <c r="G558" i="3"/>
  <c r="G553" i="3"/>
  <c r="G550" i="3"/>
  <c r="G545" i="3"/>
  <c r="G542" i="3"/>
  <c r="G537" i="3"/>
  <c r="G534" i="3"/>
  <c r="G529" i="3"/>
  <c r="G526" i="3"/>
  <c r="G521" i="3"/>
  <c r="G518" i="3"/>
  <c r="G513" i="3"/>
  <c r="G510" i="3"/>
  <c r="G505" i="3"/>
  <c r="G502" i="3"/>
  <c r="G497" i="3"/>
  <c r="G494" i="3"/>
  <c r="G489" i="3"/>
  <c r="G486" i="3"/>
  <c r="G481" i="3"/>
  <c r="G478" i="3"/>
  <c r="G473" i="3"/>
  <c r="G470" i="3"/>
  <c r="G465" i="3"/>
  <c r="G462" i="3"/>
  <c r="G457" i="3"/>
  <c r="G454" i="3"/>
  <c r="G449" i="3"/>
  <c r="G446" i="3"/>
  <c r="G441" i="3"/>
  <c r="G438" i="3"/>
  <c r="G433" i="3"/>
  <c r="G430" i="3"/>
  <c r="G425" i="3"/>
  <c r="G422" i="3"/>
  <c r="G417" i="3"/>
  <c r="G414" i="3"/>
  <c r="G409" i="3"/>
  <c r="G406" i="3"/>
  <c r="G401" i="3"/>
  <c r="G257" i="5"/>
  <c r="G193" i="5"/>
  <c r="G129" i="5"/>
  <c r="H579" i="3"/>
  <c r="H576" i="3"/>
  <c r="H571" i="3"/>
  <c r="H568" i="3"/>
  <c r="I568" i="3" s="1"/>
  <c r="H563" i="3"/>
  <c r="H560" i="3"/>
  <c r="I560" i="3" s="1"/>
  <c r="H555" i="3"/>
  <c r="I555" i="3" s="1"/>
  <c r="H552" i="3"/>
  <c r="H547" i="3"/>
  <c r="H544" i="3"/>
  <c r="H539" i="3"/>
  <c r="H536" i="3"/>
  <c r="I536" i="3" s="1"/>
  <c r="H531" i="3"/>
  <c r="H528" i="3"/>
  <c r="I528" i="3" s="1"/>
  <c r="H523" i="3"/>
  <c r="I523" i="3" s="1"/>
  <c r="H520" i="3"/>
  <c r="H515" i="3"/>
  <c r="H512" i="3"/>
  <c r="H507" i="3"/>
  <c r="H504" i="3"/>
  <c r="I504" i="3" s="1"/>
  <c r="H499" i="3"/>
  <c r="H496" i="3"/>
  <c r="I496" i="3" s="1"/>
  <c r="H491" i="3"/>
  <c r="I491" i="3" s="1"/>
  <c r="H488" i="3"/>
  <c r="H483" i="3"/>
  <c r="H480" i="3"/>
  <c r="H475" i="3"/>
  <c r="H472" i="3"/>
  <c r="I472" i="3" s="1"/>
  <c r="H467" i="3"/>
  <c r="H464" i="3"/>
  <c r="I464" i="3" s="1"/>
  <c r="H459" i="3"/>
  <c r="I459" i="3" s="1"/>
  <c r="H456" i="3"/>
  <c r="H451" i="3"/>
  <c r="H448" i="3"/>
  <c r="H443" i="3"/>
  <c r="H440" i="3"/>
  <c r="I440" i="3" s="1"/>
  <c r="H435" i="3"/>
  <c r="H432" i="3"/>
  <c r="I432" i="3" s="1"/>
  <c r="H427" i="3"/>
  <c r="I427" i="3" s="1"/>
  <c r="H424" i="3"/>
  <c r="H419" i="3"/>
  <c r="H416" i="3"/>
  <c r="H411" i="3"/>
  <c r="H408" i="3"/>
  <c r="I408" i="3" s="1"/>
  <c r="H403" i="3"/>
  <c r="H398" i="3"/>
  <c r="I398" i="3" s="1"/>
  <c r="H396" i="3"/>
  <c r="I396" i="3" s="1"/>
  <c r="H394" i="3"/>
  <c r="H392" i="3"/>
  <c r="I392" i="3" s="1"/>
  <c r="H390" i="3"/>
  <c r="H388" i="3"/>
  <c r="I388" i="3" s="1"/>
  <c r="H386" i="3"/>
  <c r="H384" i="3"/>
  <c r="H382" i="3"/>
  <c r="I382" i="3" s="1"/>
  <c r="H380" i="3"/>
  <c r="I380" i="3" s="1"/>
  <c r="H378" i="3"/>
  <c r="H376" i="3"/>
  <c r="I376" i="3" s="1"/>
  <c r="H374" i="3"/>
  <c r="H372" i="3"/>
  <c r="I372" i="3" s="1"/>
  <c r="H370" i="3"/>
  <c r="H368" i="3"/>
  <c r="H366" i="3"/>
  <c r="I366" i="3" s="1"/>
  <c r="H364" i="3"/>
  <c r="H362" i="3"/>
  <c r="H360" i="3"/>
  <c r="H358" i="3"/>
  <c r="H356" i="3"/>
  <c r="H354" i="3"/>
  <c r="H352" i="3"/>
  <c r="H350" i="3"/>
  <c r="H348" i="3"/>
  <c r="I348" i="3" s="1"/>
  <c r="H346" i="3"/>
  <c r="H344" i="3"/>
  <c r="H342" i="3"/>
  <c r="H340" i="3"/>
  <c r="H338" i="3"/>
  <c r="H336" i="3"/>
  <c r="H334" i="3"/>
  <c r="I334" i="3" s="1"/>
  <c r="H332" i="3"/>
  <c r="I332" i="3" s="1"/>
  <c r="H330" i="3"/>
  <c r="H328" i="3"/>
  <c r="H326" i="3"/>
  <c r="H324" i="3"/>
  <c r="H322" i="3"/>
  <c r="H320" i="3"/>
  <c r="I320" i="3" s="1"/>
  <c r="H318" i="3"/>
  <c r="I318" i="3" s="1"/>
  <c r="H316" i="3"/>
  <c r="I316" i="3" s="1"/>
  <c r="H314" i="3"/>
  <c r="H312" i="3"/>
  <c r="I312" i="3" s="1"/>
  <c r="H310" i="3"/>
  <c r="H308" i="3"/>
  <c r="H306" i="3"/>
  <c r="H304" i="3"/>
  <c r="I304" i="3" s="1"/>
  <c r="H302" i="3"/>
  <c r="H300" i="3"/>
  <c r="I300" i="3" s="1"/>
  <c r="H298" i="3"/>
  <c r="H296" i="3"/>
  <c r="H294" i="3"/>
  <c r="H292" i="3"/>
  <c r="H290" i="3"/>
  <c r="H288" i="3"/>
  <c r="I288" i="3" s="1"/>
  <c r="H286" i="3"/>
  <c r="I286" i="3" s="1"/>
  <c r="G249" i="5"/>
  <c r="G185" i="5"/>
  <c r="G121" i="5"/>
  <c r="G39" i="5"/>
  <c r="G31" i="5"/>
  <c r="G23" i="5"/>
  <c r="G15" i="5"/>
  <c r="G7" i="5"/>
  <c r="G579" i="3"/>
  <c r="G576" i="3"/>
  <c r="G571" i="3"/>
  <c r="G568" i="3"/>
  <c r="G563" i="3"/>
  <c r="G560" i="3"/>
  <c r="G555" i="3"/>
  <c r="G552" i="3"/>
  <c r="G547" i="3"/>
  <c r="G544" i="3"/>
  <c r="G539" i="3"/>
  <c r="G536" i="3"/>
  <c r="G531" i="3"/>
  <c r="G528" i="3"/>
  <c r="G523" i="3"/>
  <c r="G520" i="3"/>
  <c r="G515" i="3"/>
  <c r="G512" i="3"/>
  <c r="G507" i="3"/>
  <c r="G504" i="3"/>
  <c r="G499" i="3"/>
  <c r="G496" i="3"/>
  <c r="G491" i="3"/>
  <c r="G488" i="3"/>
  <c r="G483" i="3"/>
  <c r="G480" i="3"/>
  <c r="G475" i="3"/>
  <c r="G472" i="3"/>
  <c r="G467" i="3"/>
  <c r="G464" i="3"/>
  <c r="G459" i="3"/>
  <c r="G456" i="3"/>
  <c r="G451" i="3"/>
  <c r="G448" i="3"/>
  <c r="G443" i="3"/>
  <c r="G440" i="3"/>
  <c r="G435" i="3"/>
  <c r="G432" i="3"/>
  <c r="G427" i="3"/>
  <c r="G424" i="3"/>
  <c r="G419" i="3"/>
  <c r="G416" i="3"/>
  <c r="G411" i="3"/>
  <c r="G408" i="3"/>
  <c r="G403" i="3"/>
  <c r="H400" i="3"/>
  <c r="G398" i="3"/>
  <c r="G396" i="3"/>
  <c r="G394" i="3"/>
  <c r="G392" i="3"/>
  <c r="G390" i="3"/>
  <c r="G388" i="3"/>
  <c r="G386" i="3"/>
  <c r="G384" i="3"/>
  <c r="G382" i="3"/>
  <c r="G380" i="3"/>
  <c r="G378" i="3"/>
  <c r="G376" i="3"/>
  <c r="G374" i="3"/>
  <c r="G372" i="3"/>
  <c r="G370" i="3"/>
  <c r="G241" i="5"/>
  <c r="G177" i="5"/>
  <c r="G113" i="5"/>
  <c r="H581" i="3"/>
  <c r="I581" i="3" s="1"/>
  <c r="H578" i="3"/>
  <c r="H573" i="3"/>
  <c r="H570" i="3"/>
  <c r="H565" i="3"/>
  <c r="H562" i="3"/>
  <c r="I562" i="3" s="1"/>
  <c r="H557" i="3"/>
  <c r="H554" i="3"/>
  <c r="I554" i="3" s="1"/>
  <c r="H549" i="3"/>
  <c r="I549" i="3" s="1"/>
  <c r="H546" i="3"/>
  <c r="H541" i="3"/>
  <c r="H538" i="3"/>
  <c r="H533" i="3"/>
  <c r="H530" i="3"/>
  <c r="I530" i="3" s="1"/>
  <c r="H525" i="3"/>
  <c r="H522" i="3"/>
  <c r="I522" i="3" s="1"/>
  <c r="H517" i="3"/>
  <c r="I517" i="3" s="1"/>
  <c r="H514" i="3"/>
  <c r="H509" i="3"/>
  <c r="H506" i="3"/>
  <c r="H501" i="3"/>
  <c r="H498" i="3"/>
  <c r="I498" i="3" s="1"/>
  <c r="H493" i="3"/>
  <c r="H490" i="3"/>
  <c r="I490" i="3" s="1"/>
  <c r="H485" i="3"/>
  <c r="I485" i="3" s="1"/>
  <c r="H482" i="3"/>
  <c r="H477" i="3"/>
  <c r="H474" i="3"/>
  <c r="H469" i="3"/>
  <c r="H466" i="3"/>
  <c r="I466" i="3" s="1"/>
  <c r="H461" i="3"/>
  <c r="H458" i="3"/>
  <c r="I458" i="3" s="1"/>
  <c r="H453" i="3"/>
  <c r="I453" i="3" s="1"/>
  <c r="H450" i="3"/>
  <c r="H445" i="3"/>
  <c r="H442" i="3"/>
  <c r="H437" i="3"/>
  <c r="H434" i="3"/>
  <c r="I434" i="3" s="1"/>
  <c r="H429" i="3"/>
  <c r="H426" i="3"/>
  <c r="I426" i="3" s="1"/>
  <c r="H421" i="3"/>
  <c r="I421" i="3" s="1"/>
  <c r="H418" i="3"/>
  <c r="H413" i="3"/>
  <c r="H410" i="3"/>
  <c r="H405" i="3"/>
  <c r="H402" i="3"/>
  <c r="I402" i="3" s="1"/>
  <c r="G400" i="3"/>
  <c r="G233" i="5"/>
  <c r="G169" i="5"/>
  <c r="G37" i="5"/>
  <c r="G29" i="5"/>
  <c r="G21" i="5"/>
  <c r="G13" i="5"/>
  <c r="G5" i="5"/>
  <c r="G581" i="3"/>
  <c r="G578" i="3"/>
  <c r="G573" i="3"/>
  <c r="G570" i="3"/>
  <c r="G565" i="3"/>
  <c r="G562" i="3"/>
  <c r="G557" i="3"/>
  <c r="G554" i="3"/>
  <c r="G549" i="3"/>
  <c r="G546" i="3"/>
  <c r="G541" i="3"/>
  <c r="G538" i="3"/>
  <c r="G533" i="3"/>
  <c r="G530" i="3"/>
  <c r="G525" i="3"/>
  <c r="G522" i="3"/>
  <c r="G517" i="3"/>
  <c r="G514" i="3"/>
  <c r="G509" i="3"/>
  <c r="G506" i="3"/>
  <c r="G501" i="3"/>
  <c r="G498" i="3"/>
  <c r="G493" i="3"/>
  <c r="G490" i="3"/>
  <c r="G485" i="3"/>
  <c r="G482" i="3"/>
  <c r="G477" i="3"/>
  <c r="G474" i="3"/>
  <c r="G469" i="3"/>
  <c r="G466" i="3"/>
  <c r="G461" i="3"/>
  <c r="G458" i="3"/>
  <c r="G453" i="3"/>
  <c r="G450" i="3"/>
  <c r="G445" i="3"/>
  <c r="G442" i="3"/>
  <c r="G437" i="3"/>
  <c r="G434" i="3"/>
  <c r="G429" i="3"/>
  <c r="G426" i="3"/>
  <c r="G421" i="3"/>
  <c r="G418" i="3"/>
  <c r="G413" i="3"/>
  <c r="G410" i="3"/>
  <c r="G405" i="3"/>
  <c r="G402" i="3"/>
  <c r="G225" i="5"/>
  <c r="G161" i="5"/>
  <c r="H580" i="3"/>
  <c r="H575" i="3"/>
  <c r="I575" i="3" s="1"/>
  <c r="J575" i="3" s="1"/>
  <c r="H572" i="3"/>
  <c r="I572" i="3" s="1"/>
  <c r="H567" i="3"/>
  <c r="H564" i="3"/>
  <c r="H559" i="3"/>
  <c r="H556" i="3"/>
  <c r="H551" i="3"/>
  <c r="H548" i="3"/>
  <c r="H543" i="3"/>
  <c r="H540" i="3"/>
  <c r="H535" i="3"/>
  <c r="H532" i="3"/>
  <c r="I532" i="3" s="1"/>
  <c r="H527" i="3"/>
  <c r="H524" i="3"/>
  <c r="I524" i="3" s="1"/>
  <c r="H519" i="3"/>
  <c r="H516" i="3"/>
  <c r="H511" i="3"/>
  <c r="I511" i="3" s="1"/>
  <c r="H508" i="3"/>
  <c r="I508" i="3" s="1"/>
  <c r="H503" i="3"/>
  <c r="H500" i="3"/>
  <c r="H495" i="3"/>
  <c r="H492" i="3"/>
  <c r="G217" i="5"/>
  <c r="G27" i="5"/>
  <c r="G572" i="3"/>
  <c r="G551" i="3"/>
  <c r="G508" i="3"/>
  <c r="G479" i="3"/>
  <c r="G468" i="3"/>
  <c r="G447" i="3"/>
  <c r="G436" i="3"/>
  <c r="G415" i="3"/>
  <c r="G404" i="3"/>
  <c r="G395" i="3"/>
  <c r="G389" i="3"/>
  <c r="H383" i="3"/>
  <c r="G373" i="3"/>
  <c r="G368" i="3"/>
  <c r="G361" i="3"/>
  <c r="G358" i="3"/>
  <c r="H351" i="3"/>
  <c r="I351" i="3" s="1"/>
  <c r="G345" i="3"/>
  <c r="G342" i="3"/>
  <c r="H335" i="3"/>
  <c r="G329" i="3"/>
  <c r="G326" i="3"/>
  <c r="H319" i="3"/>
  <c r="G313" i="3"/>
  <c r="G310" i="3"/>
  <c r="H303" i="3"/>
  <c r="I303" i="3" s="1"/>
  <c r="G297" i="3"/>
  <c r="G294" i="3"/>
  <c r="H287" i="3"/>
  <c r="G282" i="3"/>
  <c r="G279" i="3"/>
  <c r="G274" i="3"/>
  <c r="G271" i="3"/>
  <c r="G266" i="3"/>
  <c r="G263" i="3"/>
  <c r="G258" i="3"/>
  <c r="G255" i="3"/>
  <c r="G253" i="3"/>
  <c r="G251" i="3"/>
  <c r="G249" i="3"/>
  <c r="G247" i="3"/>
  <c r="G245" i="3"/>
  <c r="G243" i="3"/>
  <c r="G241" i="3"/>
  <c r="G239" i="3"/>
  <c r="G237" i="3"/>
  <c r="G235" i="3"/>
  <c r="G233" i="3"/>
  <c r="G231" i="3"/>
  <c r="G229" i="3"/>
  <c r="G227" i="3"/>
  <c r="G225" i="3"/>
  <c r="G223" i="3"/>
  <c r="G221" i="3"/>
  <c r="G219" i="3"/>
  <c r="G217" i="3"/>
  <c r="G215" i="3"/>
  <c r="G213" i="3"/>
  <c r="G211" i="3"/>
  <c r="G209" i="3"/>
  <c r="G207" i="3"/>
  <c r="G205" i="3"/>
  <c r="G203" i="3"/>
  <c r="G201" i="3"/>
  <c r="G199" i="3"/>
  <c r="G197" i="3"/>
  <c r="G195" i="3"/>
  <c r="G193" i="3"/>
  <c r="G191" i="3"/>
  <c r="G189" i="3"/>
  <c r="G187" i="3"/>
  <c r="G185" i="3"/>
  <c r="G183" i="3"/>
  <c r="G181" i="3"/>
  <c r="G179" i="3"/>
  <c r="G177" i="3"/>
  <c r="G175" i="3"/>
  <c r="G173" i="3"/>
  <c r="G171" i="3"/>
  <c r="G169" i="3"/>
  <c r="G167" i="3"/>
  <c r="G165" i="3"/>
  <c r="G163" i="3"/>
  <c r="G161" i="3"/>
  <c r="G159" i="3"/>
  <c r="G157" i="3"/>
  <c r="G155" i="3"/>
  <c r="G153" i="3"/>
  <c r="G151" i="3"/>
  <c r="G149" i="3"/>
  <c r="G147" i="3"/>
  <c r="G145" i="3"/>
  <c r="G143" i="3"/>
  <c r="G141" i="3"/>
  <c r="G139" i="3"/>
  <c r="G137" i="3"/>
  <c r="G135" i="3"/>
  <c r="G133" i="3"/>
  <c r="G131" i="3"/>
  <c r="G129" i="3"/>
  <c r="G127" i="3"/>
  <c r="G125" i="3"/>
  <c r="G123" i="3"/>
  <c r="G121" i="3"/>
  <c r="G119" i="3"/>
  <c r="G117" i="3"/>
  <c r="G115" i="3"/>
  <c r="G113" i="3"/>
  <c r="G111" i="3"/>
  <c r="G109" i="3"/>
  <c r="G107" i="3"/>
  <c r="G105" i="3"/>
  <c r="G103" i="3"/>
  <c r="G101" i="3"/>
  <c r="G99" i="3"/>
  <c r="G97" i="3"/>
  <c r="G95" i="3"/>
  <c r="G93" i="3"/>
  <c r="G91" i="3"/>
  <c r="G89" i="3"/>
  <c r="G87" i="3"/>
  <c r="G85" i="3"/>
  <c r="G83" i="3"/>
  <c r="G81" i="3"/>
  <c r="G79" i="3"/>
  <c r="G77" i="3"/>
  <c r="G75" i="3"/>
  <c r="G73" i="3"/>
  <c r="G71" i="3"/>
  <c r="G69" i="3"/>
  <c r="G67" i="3"/>
  <c r="G65" i="3"/>
  <c r="G63" i="3"/>
  <c r="G61" i="3"/>
  <c r="G59" i="3"/>
  <c r="G57" i="3"/>
  <c r="G55" i="3"/>
  <c r="G53" i="3"/>
  <c r="G51" i="3"/>
  <c r="G49" i="3"/>
  <c r="G47" i="3"/>
  <c r="G45" i="3"/>
  <c r="G43" i="3"/>
  <c r="G41" i="3"/>
  <c r="G39" i="3"/>
  <c r="G37" i="3"/>
  <c r="G35" i="3"/>
  <c r="G153" i="5"/>
  <c r="G19" i="5"/>
  <c r="G548" i="3"/>
  <c r="G527" i="3"/>
  <c r="H487" i="3"/>
  <c r="I487" i="3" s="1"/>
  <c r="H476" i="3"/>
  <c r="I476" i="3" s="1"/>
  <c r="H455" i="3"/>
  <c r="I455" i="3" s="1"/>
  <c r="H444" i="3"/>
  <c r="H423" i="3"/>
  <c r="H412" i="3"/>
  <c r="H393" i="3"/>
  <c r="I393" i="3" s="1"/>
  <c r="G383" i="3"/>
  <c r="H377" i="3"/>
  <c r="I377" i="3" s="1"/>
  <c r="H367" i="3"/>
  <c r="I367" i="3" s="1"/>
  <c r="G364" i="3"/>
  <c r="H357" i="3"/>
  <c r="G351" i="3"/>
  <c r="G348" i="3"/>
  <c r="H341" i="3"/>
  <c r="G335" i="3"/>
  <c r="G332" i="3"/>
  <c r="H325" i="3"/>
  <c r="I325" i="3" s="1"/>
  <c r="G319" i="3"/>
  <c r="G316" i="3"/>
  <c r="H309" i="3"/>
  <c r="G303" i="3"/>
  <c r="G300" i="3"/>
  <c r="H293" i="3"/>
  <c r="I293" i="3" s="1"/>
  <c r="G287" i="3"/>
  <c r="H284" i="3"/>
  <c r="I284" i="3" s="1"/>
  <c r="H281" i="3"/>
  <c r="I281" i="3" s="1"/>
  <c r="H276" i="3"/>
  <c r="H273" i="3"/>
  <c r="H268" i="3"/>
  <c r="H265" i="3"/>
  <c r="H260" i="3"/>
  <c r="I260" i="3" s="1"/>
  <c r="H257" i="3"/>
  <c r="I257" i="3" s="1"/>
  <c r="G11" i="5"/>
  <c r="G567" i="3"/>
  <c r="G524" i="3"/>
  <c r="G503" i="3"/>
  <c r="G487" i="3"/>
  <c r="G476" i="3"/>
  <c r="G455" i="3"/>
  <c r="G444" i="3"/>
  <c r="G423" i="3"/>
  <c r="G412" i="3"/>
  <c r="G393" i="3"/>
  <c r="H387" i="3"/>
  <c r="G377" i="3"/>
  <c r="H371" i="3"/>
  <c r="G367" i="3"/>
  <c r="H363" i="3"/>
  <c r="I363" i="3" s="1"/>
  <c r="G357" i="3"/>
  <c r="G354" i="3"/>
  <c r="H347" i="3"/>
  <c r="G341" i="3"/>
  <c r="G338" i="3"/>
  <c r="H331" i="3"/>
  <c r="G325" i="3"/>
  <c r="G322" i="3"/>
  <c r="H315" i="3"/>
  <c r="I315" i="3" s="1"/>
  <c r="G309" i="3"/>
  <c r="G306" i="3"/>
  <c r="H299" i="3"/>
  <c r="I299" i="3" s="1"/>
  <c r="G293" i="3"/>
  <c r="G290" i="3"/>
  <c r="G284" i="3"/>
  <c r="G281" i="3"/>
  <c r="G276" i="3"/>
  <c r="G273" i="3"/>
  <c r="G268" i="3"/>
  <c r="G265" i="3"/>
  <c r="G260" i="3"/>
  <c r="G257" i="3"/>
  <c r="G3" i="5"/>
  <c r="G564" i="3"/>
  <c r="G543" i="3"/>
  <c r="G500" i="3"/>
  <c r="H484" i="3"/>
  <c r="H463" i="3"/>
  <c r="I463" i="3" s="1"/>
  <c r="H452" i="3"/>
  <c r="H431" i="3"/>
  <c r="H420" i="3"/>
  <c r="G387" i="3"/>
  <c r="H381" i="3"/>
  <c r="I381" i="3" s="1"/>
  <c r="G371" i="3"/>
  <c r="G363" i="3"/>
  <c r="G360" i="3"/>
  <c r="H353" i="3"/>
  <c r="G347" i="3"/>
  <c r="G344" i="3"/>
  <c r="H337" i="3"/>
  <c r="G331" i="3"/>
  <c r="G328" i="3"/>
  <c r="H321" i="3"/>
  <c r="I321" i="3" s="1"/>
  <c r="G315" i="3"/>
  <c r="G312" i="3"/>
  <c r="H305" i="3"/>
  <c r="G299" i="3"/>
  <c r="G296" i="3"/>
  <c r="H289" i="3"/>
  <c r="I289" i="3" s="1"/>
  <c r="H283" i="3"/>
  <c r="I283" i="3" s="1"/>
  <c r="H278" i="3"/>
  <c r="H275" i="3"/>
  <c r="H270" i="3"/>
  <c r="H267" i="3"/>
  <c r="H262" i="3"/>
  <c r="H259" i="3"/>
  <c r="I259" i="3" s="1"/>
  <c r="H254" i="3"/>
  <c r="I254" i="3" s="1"/>
  <c r="H252" i="3"/>
  <c r="I252" i="3" s="1"/>
  <c r="H250" i="3"/>
  <c r="H248" i="3"/>
  <c r="H246" i="3"/>
  <c r="H244" i="3"/>
  <c r="H242" i="3"/>
  <c r="H240" i="3"/>
  <c r="I240" i="3" s="1"/>
  <c r="H238" i="3"/>
  <c r="I238" i="3" s="1"/>
  <c r="H236" i="3"/>
  <c r="I236" i="3" s="1"/>
  <c r="H234" i="3"/>
  <c r="H232" i="3"/>
  <c r="H230" i="3"/>
  <c r="H228" i="3"/>
  <c r="H226" i="3"/>
  <c r="H224" i="3"/>
  <c r="I224" i="3" s="1"/>
  <c r="H222" i="3"/>
  <c r="I222" i="3" s="1"/>
  <c r="H220" i="3"/>
  <c r="I220" i="3" s="1"/>
  <c r="H218" i="3"/>
  <c r="H216" i="3"/>
  <c r="H214" i="3"/>
  <c r="H212" i="3"/>
  <c r="H210" i="3"/>
  <c r="H208" i="3"/>
  <c r="I208" i="3" s="1"/>
  <c r="H206" i="3"/>
  <c r="I206" i="3" s="1"/>
  <c r="H204" i="3"/>
  <c r="I204" i="3" s="1"/>
  <c r="H202" i="3"/>
  <c r="H200" i="3"/>
  <c r="H198" i="3"/>
  <c r="H196" i="3"/>
  <c r="H194" i="3"/>
  <c r="H192" i="3"/>
  <c r="I192" i="3" s="1"/>
  <c r="H190" i="3"/>
  <c r="I190" i="3" s="1"/>
  <c r="H188" i="3"/>
  <c r="I188" i="3" s="1"/>
  <c r="H186" i="3"/>
  <c r="H184" i="3"/>
  <c r="H182" i="3"/>
  <c r="H180" i="3"/>
  <c r="H178" i="3"/>
  <c r="H176" i="3"/>
  <c r="I176" i="3" s="1"/>
  <c r="H174" i="3"/>
  <c r="I174" i="3" s="1"/>
  <c r="H172" i="3"/>
  <c r="I172" i="3" s="1"/>
  <c r="H170" i="3"/>
  <c r="H168" i="3"/>
  <c r="H166" i="3"/>
  <c r="H164" i="3"/>
  <c r="H162" i="3"/>
  <c r="H160" i="3"/>
  <c r="I160" i="3" s="1"/>
  <c r="H158" i="3"/>
  <c r="I158" i="3" s="1"/>
  <c r="H156" i="3"/>
  <c r="I156" i="3" s="1"/>
  <c r="H154" i="3"/>
  <c r="H152" i="3"/>
  <c r="H150" i="3"/>
  <c r="H148" i="3"/>
  <c r="H146" i="3"/>
  <c r="H144" i="3"/>
  <c r="I144" i="3" s="1"/>
  <c r="H142" i="3"/>
  <c r="I142" i="3" s="1"/>
  <c r="H140" i="3"/>
  <c r="I140" i="3" s="1"/>
  <c r="H138" i="3"/>
  <c r="I138" i="3" s="1"/>
  <c r="H136" i="3"/>
  <c r="H134" i="3"/>
  <c r="I134" i="3" s="1"/>
  <c r="H132" i="3"/>
  <c r="I132" i="3" s="1"/>
  <c r="H130" i="3"/>
  <c r="I130" i="3" s="1"/>
  <c r="H128" i="3"/>
  <c r="I128" i="3" s="1"/>
  <c r="H126" i="3"/>
  <c r="I126" i="3" s="1"/>
  <c r="H124" i="3"/>
  <c r="I124" i="3" s="1"/>
  <c r="H122" i="3"/>
  <c r="I122" i="3" s="1"/>
  <c r="H120" i="3"/>
  <c r="H118" i="3"/>
  <c r="I118" i="3" s="1"/>
  <c r="H116" i="3"/>
  <c r="I116" i="3" s="1"/>
  <c r="H114" i="3"/>
  <c r="I114" i="3" s="1"/>
  <c r="H112" i="3"/>
  <c r="I112" i="3" s="1"/>
  <c r="H110" i="3"/>
  <c r="I110" i="3" s="1"/>
  <c r="H108" i="3"/>
  <c r="I108" i="3" s="1"/>
  <c r="H106" i="3"/>
  <c r="I106" i="3" s="1"/>
  <c r="H104" i="3"/>
  <c r="H102" i="3"/>
  <c r="I102" i="3" s="1"/>
  <c r="H100" i="3"/>
  <c r="I100" i="3" s="1"/>
  <c r="H98" i="3"/>
  <c r="I98" i="3" s="1"/>
  <c r="H96" i="3"/>
  <c r="I96" i="3" s="1"/>
  <c r="H94" i="3"/>
  <c r="I94" i="3" s="1"/>
  <c r="H92" i="3"/>
  <c r="I92" i="3" s="1"/>
  <c r="H90" i="3"/>
  <c r="I90" i="3" s="1"/>
  <c r="H88" i="3"/>
  <c r="H86" i="3"/>
  <c r="I86" i="3" s="1"/>
  <c r="H84" i="3"/>
  <c r="I84" i="3" s="1"/>
  <c r="H82" i="3"/>
  <c r="I82" i="3" s="1"/>
  <c r="H80" i="3"/>
  <c r="I80" i="3" s="1"/>
  <c r="H78" i="3"/>
  <c r="I78" i="3" s="1"/>
  <c r="G540" i="3"/>
  <c r="G519" i="3"/>
  <c r="G484" i="3"/>
  <c r="G463" i="3"/>
  <c r="G452" i="3"/>
  <c r="G431" i="3"/>
  <c r="G420" i="3"/>
  <c r="H399" i="3"/>
  <c r="H391" i="3"/>
  <c r="I391" i="3" s="1"/>
  <c r="G381" i="3"/>
  <c r="H375" i="3"/>
  <c r="G366" i="3"/>
  <c r="H359" i="3"/>
  <c r="G353" i="3"/>
  <c r="G350" i="3"/>
  <c r="H343" i="3"/>
  <c r="I343" i="3" s="1"/>
  <c r="G337" i="3"/>
  <c r="G334" i="3"/>
  <c r="H327" i="3"/>
  <c r="G321" i="3"/>
  <c r="G318" i="3"/>
  <c r="H311" i="3"/>
  <c r="G305" i="3"/>
  <c r="G302" i="3"/>
  <c r="H295" i="3"/>
  <c r="I295" i="3" s="1"/>
  <c r="G289" i="3"/>
  <c r="G286" i="3"/>
  <c r="G283" i="3"/>
  <c r="G278" i="3"/>
  <c r="G275" i="3"/>
  <c r="G270" i="3"/>
  <c r="G267" i="3"/>
  <c r="G262" i="3"/>
  <c r="G259" i="3"/>
  <c r="G254" i="3"/>
  <c r="G252" i="3"/>
  <c r="G250" i="3"/>
  <c r="G248" i="3"/>
  <c r="G246" i="3"/>
  <c r="G244" i="3"/>
  <c r="G242" i="3"/>
  <c r="G240" i="3"/>
  <c r="G238" i="3"/>
  <c r="G236" i="3"/>
  <c r="G234" i="3"/>
  <c r="G232" i="3"/>
  <c r="G230" i="3"/>
  <c r="G228" i="3"/>
  <c r="G226" i="3"/>
  <c r="G224" i="3"/>
  <c r="G222" i="3"/>
  <c r="G220" i="3"/>
  <c r="G218" i="3"/>
  <c r="G216" i="3"/>
  <c r="G214" i="3"/>
  <c r="G212" i="3"/>
  <c r="G210" i="3"/>
  <c r="G208" i="3"/>
  <c r="G206" i="3"/>
  <c r="G204" i="3"/>
  <c r="G202" i="3"/>
  <c r="G200" i="3"/>
  <c r="G198" i="3"/>
  <c r="G196" i="3"/>
  <c r="G194" i="3"/>
  <c r="G192" i="3"/>
  <c r="G190" i="3"/>
  <c r="G188" i="3"/>
  <c r="G186" i="3"/>
  <c r="G184" i="3"/>
  <c r="G182" i="3"/>
  <c r="G180" i="3"/>
  <c r="G178" i="3"/>
  <c r="G176" i="3"/>
  <c r="G174" i="3"/>
  <c r="G172" i="3"/>
  <c r="G170" i="3"/>
  <c r="G168" i="3"/>
  <c r="G166" i="3"/>
  <c r="G164" i="3"/>
  <c r="G162" i="3"/>
  <c r="G160" i="3"/>
  <c r="G158" i="3"/>
  <c r="G156" i="3"/>
  <c r="G154" i="3"/>
  <c r="G152" i="3"/>
  <c r="G150" i="3"/>
  <c r="G148" i="3"/>
  <c r="G146" i="3"/>
  <c r="G144" i="3"/>
  <c r="G580" i="3"/>
  <c r="G559" i="3"/>
  <c r="G516" i="3"/>
  <c r="G495" i="3"/>
  <c r="H471" i="3"/>
  <c r="I471" i="3" s="1"/>
  <c r="H460" i="3"/>
  <c r="I460" i="3" s="1"/>
  <c r="H439" i="3"/>
  <c r="I439" i="3" s="1"/>
  <c r="H428" i="3"/>
  <c r="H407" i="3"/>
  <c r="H397" i="3"/>
  <c r="G391" i="3"/>
  <c r="H385" i="3"/>
  <c r="G375" i="3"/>
  <c r="H369" i="3"/>
  <c r="I369" i="3" s="1"/>
  <c r="H365" i="3"/>
  <c r="I365" i="3" s="1"/>
  <c r="G359" i="3"/>
  <c r="G356" i="3"/>
  <c r="H349" i="3"/>
  <c r="G343" i="3"/>
  <c r="G340" i="3"/>
  <c r="H333" i="3"/>
  <c r="I333" i="3" s="1"/>
  <c r="G327" i="3"/>
  <c r="G324" i="3"/>
  <c r="H317" i="3"/>
  <c r="G311" i="3"/>
  <c r="G308" i="3"/>
  <c r="H301" i="3"/>
  <c r="G295" i="3"/>
  <c r="G292" i="3"/>
  <c r="H285" i="3"/>
  <c r="I285" i="3" s="1"/>
  <c r="H280" i="3"/>
  <c r="I280" i="3" s="1"/>
  <c r="H277" i="3"/>
  <c r="H272" i="3"/>
  <c r="H269" i="3"/>
  <c r="I269" i="3" s="1"/>
  <c r="H264" i="3"/>
  <c r="I264" i="3" s="1"/>
  <c r="H261" i="3"/>
  <c r="I261" i="3" s="1"/>
  <c r="H256" i="3"/>
  <c r="I256" i="3" s="1"/>
  <c r="G43" i="5"/>
  <c r="G556" i="3"/>
  <c r="G535" i="3"/>
  <c r="G492" i="3"/>
  <c r="G471" i="3"/>
  <c r="G460" i="3"/>
  <c r="G439" i="3"/>
  <c r="G428" i="3"/>
  <c r="G407" i="3"/>
  <c r="G397" i="3"/>
  <c r="G385" i="3"/>
  <c r="H379" i="3"/>
  <c r="I379" i="3" s="1"/>
  <c r="G369" i="3"/>
  <c r="G365" i="3"/>
  <c r="G362" i="3"/>
  <c r="H355" i="3"/>
  <c r="I355" i="3" s="1"/>
  <c r="G349" i="3"/>
  <c r="G346" i="3"/>
  <c r="H339" i="3"/>
  <c r="I339" i="3" s="1"/>
  <c r="G333" i="3"/>
  <c r="G330" i="3"/>
  <c r="H323" i="3"/>
  <c r="I323" i="3" s="1"/>
  <c r="G317" i="3"/>
  <c r="G314" i="3"/>
  <c r="H307" i="3"/>
  <c r="I307" i="3" s="1"/>
  <c r="G301" i="3"/>
  <c r="G298" i="3"/>
  <c r="H291" i="3"/>
  <c r="I291" i="3" s="1"/>
  <c r="G285" i="3"/>
  <c r="G280" i="3"/>
  <c r="G277" i="3"/>
  <c r="G272" i="3"/>
  <c r="H2" i="3"/>
  <c r="H4" i="3"/>
  <c r="I4" i="3" s="1"/>
  <c r="H6" i="3"/>
  <c r="I6" i="3" s="1"/>
  <c r="H8" i="3"/>
  <c r="I8" i="3" s="1"/>
  <c r="H10" i="3"/>
  <c r="I10" i="3" s="1"/>
  <c r="H12" i="3"/>
  <c r="I12" i="3" s="1"/>
  <c r="H14" i="3"/>
  <c r="I14" i="3" s="1"/>
  <c r="H16" i="3"/>
  <c r="I16" i="3" s="1"/>
  <c r="H18" i="3"/>
  <c r="I18" i="3" s="1"/>
  <c r="H20" i="3"/>
  <c r="I20" i="3" s="1"/>
  <c r="H22" i="3"/>
  <c r="I22" i="3" s="1"/>
  <c r="H24" i="3"/>
  <c r="I24" i="3" s="1"/>
  <c r="H26" i="3"/>
  <c r="I26" i="3" s="1"/>
  <c r="H28" i="3"/>
  <c r="I28" i="3" s="1"/>
  <c r="H35" i="3"/>
  <c r="I35" i="3" s="1"/>
  <c r="G38" i="3"/>
  <c r="H43" i="3"/>
  <c r="I43" i="3" s="1"/>
  <c r="G46" i="3"/>
  <c r="H51" i="3"/>
  <c r="I51" i="3" s="1"/>
  <c r="G54" i="3"/>
  <c r="H59" i="3"/>
  <c r="G62" i="3"/>
  <c r="H67" i="3"/>
  <c r="I67" i="3" s="1"/>
  <c r="G70" i="3"/>
  <c r="H83" i="3"/>
  <c r="I83" i="3" s="1"/>
  <c r="G88" i="3"/>
  <c r="H99" i="3"/>
  <c r="I99" i="3" s="1"/>
  <c r="G104" i="3"/>
  <c r="H115" i="3"/>
  <c r="I115" i="3" s="1"/>
  <c r="G120" i="3"/>
  <c r="H131" i="3"/>
  <c r="I131" i="3" s="1"/>
  <c r="G136" i="3"/>
  <c r="H149" i="3"/>
  <c r="H157" i="3"/>
  <c r="I157" i="3" s="1"/>
  <c r="H165" i="3"/>
  <c r="H173" i="3"/>
  <c r="I173" i="3" s="1"/>
  <c r="H181" i="3"/>
  <c r="H189" i="3"/>
  <c r="I189" i="3" s="1"/>
  <c r="H197" i="3"/>
  <c r="H205" i="3"/>
  <c r="I205" i="3" s="1"/>
  <c r="H213" i="3"/>
  <c r="H221" i="3"/>
  <c r="I221" i="3" s="1"/>
  <c r="H229" i="3"/>
  <c r="H237" i="3"/>
  <c r="I237" i="3" s="1"/>
  <c r="H245" i="3"/>
  <c r="H253" i="3"/>
  <c r="I253" i="3" s="1"/>
  <c r="H263" i="3"/>
  <c r="I263" i="3" s="1"/>
  <c r="G352" i="3"/>
  <c r="G35" i="5"/>
  <c r="J551" i="3" l="1"/>
  <c r="J6" i="5"/>
  <c r="J578" i="3"/>
  <c r="I302" i="3"/>
  <c r="I350" i="3"/>
  <c r="J350" i="3" s="1"/>
  <c r="J430" i="3"/>
  <c r="J462" i="3"/>
  <c r="J494" i="3"/>
  <c r="J526" i="3"/>
  <c r="J558" i="3"/>
  <c r="J147" i="5"/>
  <c r="J211" i="5"/>
  <c r="J275" i="5"/>
  <c r="J181" i="5"/>
  <c r="I147" i="5"/>
  <c r="I211" i="5"/>
  <c r="I275" i="5"/>
  <c r="J98" i="3"/>
  <c r="J16" i="3"/>
  <c r="I436" i="3"/>
  <c r="I103" i="3"/>
  <c r="J532" i="3"/>
  <c r="I97" i="3"/>
  <c r="I258" i="3"/>
  <c r="J258" i="3" s="1"/>
  <c r="I193" i="3"/>
  <c r="J128" i="3"/>
  <c r="J90" i="3"/>
  <c r="I479" i="3"/>
  <c r="I231" i="3"/>
  <c r="I167" i="3"/>
  <c r="J167" i="3" s="1"/>
  <c r="J100" i="3"/>
  <c r="I57" i="3"/>
  <c r="J57" i="3" s="1"/>
  <c r="I137" i="3"/>
  <c r="J178" i="3"/>
  <c r="I149" i="3"/>
  <c r="J149" i="3" s="1"/>
  <c r="I399" i="3"/>
  <c r="J399" i="3" s="1"/>
  <c r="J103" i="3"/>
  <c r="J182" i="3"/>
  <c r="J420" i="3"/>
  <c r="I337" i="3"/>
  <c r="J337" i="3" s="1"/>
  <c r="J281" i="3"/>
  <c r="J332" i="3"/>
  <c r="J137" i="3"/>
  <c r="I516" i="3"/>
  <c r="J516" i="3" s="1"/>
  <c r="I548" i="3"/>
  <c r="J548" i="3" s="1"/>
  <c r="I580" i="3"/>
  <c r="J421" i="3"/>
  <c r="J453" i="3"/>
  <c r="J380" i="3"/>
  <c r="J214" i="3"/>
  <c r="J295" i="3"/>
  <c r="I385" i="3"/>
  <c r="J152" i="3"/>
  <c r="J168" i="3"/>
  <c r="J200" i="3"/>
  <c r="I311" i="3"/>
  <c r="J311" i="3" s="1"/>
  <c r="J353" i="3"/>
  <c r="I146" i="3"/>
  <c r="J146" i="3" s="1"/>
  <c r="I162" i="3"/>
  <c r="I178" i="3"/>
  <c r="I194" i="3"/>
  <c r="J194" i="3" s="1"/>
  <c r="I210" i="3"/>
  <c r="I226" i="3"/>
  <c r="I242" i="3"/>
  <c r="J242" i="3" s="1"/>
  <c r="I262" i="3"/>
  <c r="J299" i="3"/>
  <c r="I420" i="3"/>
  <c r="J3" i="5"/>
  <c r="J284" i="3"/>
  <c r="J325" i="3"/>
  <c r="J367" i="3"/>
  <c r="J455" i="3"/>
  <c r="J335" i="3"/>
  <c r="J43" i="3"/>
  <c r="I319" i="3"/>
  <c r="J436" i="3"/>
  <c r="I519" i="3"/>
  <c r="I551" i="3"/>
  <c r="J426" i="3"/>
  <c r="J458" i="3"/>
  <c r="J226" i="3"/>
  <c r="J540" i="3"/>
  <c r="I540" i="3"/>
  <c r="J394" i="3"/>
  <c r="J35" i="5"/>
  <c r="J11" i="5"/>
  <c r="J231" i="3"/>
  <c r="J292" i="3"/>
  <c r="J460" i="3"/>
  <c r="I301" i="3"/>
  <c r="J301" i="3" s="1"/>
  <c r="J391" i="3"/>
  <c r="J186" i="3"/>
  <c r="I359" i="3"/>
  <c r="I148" i="3"/>
  <c r="I180" i="3"/>
  <c r="J180" i="3" s="1"/>
  <c r="I212" i="3"/>
  <c r="J212" i="3" s="1"/>
  <c r="I244" i="3"/>
  <c r="J244" i="3" s="1"/>
  <c r="I305" i="3"/>
  <c r="J305" i="3" s="1"/>
  <c r="I431" i="3"/>
  <c r="J431" i="3" s="1"/>
  <c r="I331" i="3"/>
  <c r="J331" i="3" s="1"/>
  <c r="J476" i="3"/>
  <c r="J300" i="3"/>
  <c r="J173" i="3"/>
  <c r="J189" i="3"/>
  <c r="J205" i="3"/>
  <c r="J221" i="3"/>
  <c r="J237" i="3"/>
  <c r="J253" i="3"/>
  <c r="I492" i="3"/>
  <c r="I556" i="3"/>
  <c r="I405" i="3"/>
  <c r="I437" i="3"/>
  <c r="I469" i="3"/>
  <c r="I501" i="3"/>
  <c r="J501" i="3" s="1"/>
  <c r="I533" i="3"/>
  <c r="J533" i="3" s="1"/>
  <c r="I565" i="3"/>
  <c r="J531" i="3"/>
  <c r="J31" i="5"/>
  <c r="I292" i="3"/>
  <c r="I308" i="3"/>
  <c r="I324" i="3"/>
  <c r="J324" i="3" s="1"/>
  <c r="I340" i="3"/>
  <c r="J340" i="3" s="1"/>
  <c r="I356" i="3"/>
  <c r="I411" i="3"/>
  <c r="J411" i="3" s="1"/>
  <c r="I443" i="3"/>
  <c r="I475" i="3"/>
  <c r="J475" i="3" s="1"/>
  <c r="I507" i="3"/>
  <c r="I539" i="3"/>
  <c r="I571" i="3"/>
  <c r="J97" i="5"/>
  <c r="I11" i="5"/>
  <c r="I27" i="5"/>
  <c r="J27" i="5" s="1"/>
  <c r="I43" i="5"/>
  <c r="J43" i="5" s="1"/>
  <c r="I59" i="5"/>
  <c r="J59" i="5" s="1"/>
  <c r="I75" i="5"/>
  <c r="J75" i="5" s="1"/>
  <c r="J210" i="3"/>
  <c r="J509" i="3"/>
  <c r="J419" i="3"/>
  <c r="I364" i="3"/>
  <c r="J364" i="3" s="1"/>
  <c r="J302" i="3"/>
  <c r="J166" i="3"/>
  <c r="J230" i="3"/>
  <c r="I197" i="3"/>
  <c r="J197" i="3" s="1"/>
  <c r="J439" i="3"/>
  <c r="J280" i="3"/>
  <c r="J365" i="3"/>
  <c r="J343" i="3"/>
  <c r="J318" i="3"/>
  <c r="I164" i="3"/>
  <c r="J164" i="3" s="1"/>
  <c r="I196" i="3"/>
  <c r="I228" i="3"/>
  <c r="J228" i="3" s="1"/>
  <c r="I267" i="3"/>
  <c r="J267" i="3" s="1"/>
  <c r="J257" i="3"/>
  <c r="I371" i="3"/>
  <c r="J371" i="3" s="1"/>
  <c r="I265" i="3"/>
  <c r="J265" i="3" s="1"/>
  <c r="I341" i="3"/>
  <c r="J157" i="3"/>
  <c r="I245" i="3"/>
  <c r="J245" i="3" s="1"/>
  <c r="I181" i="3"/>
  <c r="J181" i="3" s="1"/>
  <c r="I59" i="3"/>
  <c r="J59" i="3" s="1"/>
  <c r="J285" i="3"/>
  <c r="J369" i="3"/>
  <c r="J471" i="3"/>
  <c r="J308" i="3"/>
  <c r="I349" i="3"/>
  <c r="J349" i="3" s="1"/>
  <c r="I397" i="3"/>
  <c r="J397" i="3" s="1"/>
  <c r="J156" i="3"/>
  <c r="J172" i="3"/>
  <c r="J188" i="3"/>
  <c r="J204" i="3"/>
  <c r="J220" i="3"/>
  <c r="J236" i="3"/>
  <c r="J252" i="3"/>
  <c r="J283" i="3"/>
  <c r="J321" i="3"/>
  <c r="J366" i="3"/>
  <c r="J463" i="3"/>
  <c r="I150" i="3"/>
  <c r="J150" i="3" s="1"/>
  <c r="I166" i="3"/>
  <c r="I182" i="3"/>
  <c r="I198" i="3"/>
  <c r="J198" i="3" s="1"/>
  <c r="I214" i="3"/>
  <c r="I230" i="3"/>
  <c r="I246" i="3"/>
  <c r="J246" i="3" s="1"/>
  <c r="I270" i="3"/>
  <c r="J270" i="3" s="1"/>
  <c r="J312" i="3"/>
  <c r="I353" i="3"/>
  <c r="I452" i="3"/>
  <c r="J452" i="3" s="1"/>
  <c r="J260" i="3"/>
  <c r="J293" i="3"/>
  <c r="I213" i="3"/>
  <c r="J213" i="3" s="1"/>
  <c r="J148" i="3"/>
  <c r="J572" i="3"/>
  <c r="J396" i="3"/>
  <c r="J333" i="3"/>
  <c r="J492" i="3"/>
  <c r="I272" i="3"/>
  <c r="J272" i="3" s="1"/>
  <c r="J356" i="3"/>
  <c r="I407" i="3"/>
  <c r="J407" i="3" s="1"/>
  <c r="J580" i="3"/>
  <c r="J158" i="3"/>
  <c r="J174" i="3"/>
  <c r="J190" i="3"/>
  <c r="J206" i="3"/>
  <c r="J222" i="3"/>
  <c r="J238" i="3"/>
  <c r="J254" i="3"/>
  <c r="J286" i="3"/>
  <c r="I327" i="3"/>
  <c r="I375" i="3"/>
  <c r="J375" i="3" s="1"/>
  <c r="I88" i="3"/>
  <c r="J88" i="3" s="1"/>
  <c r="I104" i="3"/>
  <c r="I120" i="3"/>
  <c r="J120" i="3" s="1"/>
  <c r="I136" i="3"/>
  <c r="J136" i="3" s="1"/>
  <c r="I152" i="3"/>
  <c r="I168" i="3"/>
  <c r="I184" i="3"/>
  <c r="J184" i="3" s="1"/>
  <c r="I200" i="3"/>
  <c r="I216" i="3"/>
  <c r="J216" i="3" s="1"/>
  <c r="I232" i="3"/>
  <c r="J232" i="3" s="1"/>
  <c r="I248" i="3"/>
  <c r="J248" i="3" s="1"/>
  <c r="I275" i="3"/>
  <c r="J275" i="3" s="1"/>
  <c r="J315" i="3"/>
  <c r="J360" i="3"/>
  <c r="J341" i="3"/>
  <c r="I387" i="3"/>
  <c r="J387" i="3" s="1"/>
  <c r="I273" i="3"/>
  <c r="J273" i="3" s="1"/>
  <c r="I309" i="3"/>
  <c r="J309" i="3" s="1"/>
  <c r="J351" i="3"/>
  <c r="I423" i="3"/>
  <c r="J423" i="3" s="1"/>
  <c r="J65" i="3"/>
  <c r="J97" i="3"/>
  <c r="J193" i="3"/>
  <c r="I335" i="3"/>
  <c r="I383" i="3"/>
  <c r="J383" i="3" s="1"/>
  <c r="J479" i="3"/>
  <c r="I500" i="3"/>
  <c r="I564" i="3"/>
  <c r="J564" i="3" s="1"/>
  <c r="J405" i="3"/>
  <c r="J437" i="3"/>
  <c r="J469" i="3"/>
  <c r="J565" i="3"/>
  <c r="I413" i="3"/>
  <c r="J413" i="3" s="1"/>
  <c r="I445" i="3"/>
  <c r="J445" i="3" s="1"/>
  <c r="I477" i="3"/>
  <c r="J477" i="3" s="1"/>
  <c r="I509" i="3"/>
  <c r="I541" i="3"/>
  <c r="J541" i="3" s="1"/>
  <c r="I573" i="3"/>
  <c r="J374" i="3"/>
  <c r="J443" i="3"/>
  <c r="J507" i="3"/>
  <c r="J539" i="3"/>
  <c r="J571" i="3"/>
  <c r="J121" i="5"/>
  <c r="I296" i="3"/>
  <c r="J296" i="3" s="1"/>
  <c r="I328" i="3"/>
  <c r="J328" i="3" s="1"/>
  <c r="I344" i="3"/>
  <c r="J344" i="3" s="1"/>
  <c r="I360" i="3"/>
  <c r="I419" i="3"/>
  <c r="I451" i="3"/>
  <c r="I483" i="3"/>
  <c r="J483" i="3" s="1"/>
  <c r="I515" i="3"/>
  <c r="J515" i="3" s="1"/>
  <c r="I547" i="3"/>
  <c r="J547" i="3" s="1"/>
  <c r="I579" i="3"/>
  <c r="J579" i="3" s="1"/>
  <c r="J577" i="3"/>
  <c r="J53" i="5"/>
  <c r="J69" i="5"/>
  <c r="J85" i="5"/>
  <c r="J101" i="5"/>
  <c r="J263" i="5"/>
  <c r="I31" i="5"/>
  <c r="J2" i="5"/>
  <c r="B12" i="4"/>
  <c r="C12" i="1" s="1"/>
  <c r="B4" i="4"/>
  <c r="C4" i="1" s="1"/>
  <c r="J556" i="3"/>
  <c r="J162" i="3"/>
  <c r="J262" i="3"/>
  <c r="J500" i="3"/>
  <c r="J319" i="3"/>
  <c r="J573" i="3"/>
  <c r="J451" i="3"/>
  <c r="J151" i="5"/>
  <c r="B15" i="2"/>
  <c r="B15" i="1" s="1"/>
  <c r="B14" i="2"/>
  <c r="B14" i="1" s="1"/>
  <c r="B5" i="2"/>
  <c r="B5" i="1" s="1"/>
  <c r="B13" i="2"/>
  <c r="B13" i="1" s="1"/>
  <c r="I2" i="3"/>
  <c r="J327" i="3"/>
  <c r="J196" i="3"/>
  <c r="J276" i="3"/>
  <c r="J87" i="3"/>
  <c r="J183" i="3"/>
  <c r="J310" i="3"/>
  <c r="I543" i="3"/>
  <c r="J543" i="3" s="1"/>
  <c r="J104" i="3"/>
  <c r="I229" i="3"/>
  <c r="J229" i="3" s="1"/>
  <c r="I165" i="3"/>
  <c r="J165" i="3" s="1"/>
  <c r="J298" i="3"/>
  <c r="J385" i="3"/>
  <c r="J535" i="3"/>
  <c r="I277" i="3"/>
  <c r="J277" i="3" s="1"/>
  <c r="I317" i="3"/>
  <c r="J317" i="3" s="1"/>
  <c r="J359" i="3"/>
  <c r="I428" i="3"/>
  <c r="J428" i="3" s="1"/>
  <c r="J144" i="3"/>
  <c r="J160" i="3"/>
  <c r="J176" i="3"/>
  <c r="J192" i="3"/>
  <c r="J208" i="3"/>
  <c r="J224" i="3"/>
  <c r="J240" i="3"/>
  <c r="J259" i="3"/>
  <c r="J289" i="3"/>
  <c r="J334" i="3"/>
  <c r="J381" i="3"/>
  <c r="J519" i="3"/>
  <c r="I154" i="3"/>
  <c r="J154" i="3" s="1"/>
  <c r="I170" i="3"/>
  <c r="J170" i="3" s="1"/>
  <c r="I186" i="3"/>
  <c r="I202" i="3"/>
  <c r="J202" i="3" s="1"/>
  <c r="I218" i="3"/>
  <c r="J218" i="3" s="1"/>
  <c r="I234" i="3"/>
  <c r="J234" i="3" s="1"/>
  <c r="I250" i="3"/>
  <c r="J250" i="3" s="1"/>
  <c r="I278" i="3"/>
  <c r="J278" i="3" s="1"/>
  <c r="J363" i="3"/>
  <c r="I484" i="3"/>
  <c r="J484" i="3" s="1"/>
  <c r="J306" i="3"/>
  <c r="I347" i="3"/>
  <c r="J347" i="3" s="1"/>
  <c r="J485" i="3"/>
  <c r="J517" i="3"/>
  <c r="J549" i="3"/>
  <c r="J581" i="3"/>
  <c r="J400" i="3"/>
  <c r="I429" i="3"/>
  <c r="J429" i="3" s="1"/>
  <c r="I461" i="3"/>
  <c r="J461" i="3" s="1"/>
  <c r="I493" i="3"/>
  <c r="J493" i="3" s="1"/>
  <c r="I525" i="3"/>
  <c r="J525" i="3" s="1"/>
  <c r="I557" i="3"/>
  <c r="J557" i="3" s="1"/>
  <c r="J382" i="3"/>
  <c r="J398" i="3"/>
  <c r="J427" i="3"/>
  <c r="J459" i="3"/>
  <c r="J491" i="3"/>
  <c r="J523" i="3"/>
  <c r="J555" i="3"/>
  <c r="J15" i="5"/>
  <c r="I336" i="3"/>
  <c r="J336" i="3" s="1"/>
  <c r="I352" i="3"/>
  <c r="J352" i="3" s="1"/>
  <c r="I368" i="3"/>
  <c r="J368" i="3" s="1"/>
  <c r="I384" i="3"/>
  <c r="J384" i="3" s="1"/>
  <c r="I403" i="3"/>
  <c r="J403" i="3" s="1"/>
  <c r="I435" i="3"/>
  <c r="J435" i="3" s="1"/>
  <c r="I467" i="3"/>
  <c r="J467" i="3" s="1"/>
  <c r="I499" i="3"/>
  <c r="J499" i="3" s="1"/>
  <c r="I531" i="3"/>
  <c r="I563" i="3"/>
  <c r="J563" i="3" s="1"/>
  <c r="J401" i="3"/>
  <c r="J433" i="3"/>
  <c r="J465" i="3"/>
  <c r="J497" i="3"/>
  <c r="J529" i="3"/>
  <c r="J561" i="3"/>
  <c r="I406" i="3"/>
  <c r="J406" i="3" s="1"/>
  <c r="I438" i="3"/>
  <c r="I470" i="3"/>
  <c r="J470" i="3" s="1"/>
  <c r="I502" i="3"/>
  <c r="J502" i="3" s="1"/>
  <c r="I534" i="3"/>
  <c r="J534" i="3" s="1"/>
  <c r="I566" i="3"/>
  <c r="J77" i="5"/>
  <c r="J109" i="5"/>
  <c r="J167" i="5"/>
  <c r="J231" i="5"/>
  <c r="I7" i="5"/>
  <c r="J7" i="5" s="1"/>
  <c r="I23" i="5"/>
  <c r="J23" i="5" s="1"/>
  <c r="I39" i="5"/>
  <c r="J10" i="5"/>
  <c r="J26" i="5"/>
  <c r="J42" i="5"/>
  <c r="J58" i="5"/>
  <c r="J74" i="5"/>
  <c r="J90" i="5"/>
  <c r="J106" i="5"/>
  <c r="J219" i="5"/>
  <c r="I2" i="5"/>
  <c r="B14" i="4"/>
  <c r="C14" i="1" s="1"/>
  <c r="B15" i="4"/>
  <c r="C15" i="1" s="1"/>
  <c r="B13" i="4"/>
  <c r="C13" i="1" s="1"/>
  <c r="B5" i="4"/>
  <c r="C5" i="1" s="1"/>
  <c r="I18" i="5"/>
  <c r="J18" i="5" s="1"/>
  <c r="I34" i="5"/>
  <c r="I50" i="5"/>
  <c r="J50" i="5" s="1"/>
  <c r="I66" i="5"/>
  <c r="I82" i="5"/>
  <c r="J82" i="5" s="1"/>
  <c r="I98" i="5"/>
  <c r="J98" i="5" s="1"/>
  <c r="J125" i="5"/>
  <c r="J189" i="5"/>
  <c r="J253" i="5"/>
  <c r="I117" i="5"/>
  <c r="J117" i="5" s="1"/>
  <c r="I133" i="5"/>
  <c r="I181" i="5"/>
  <c r="I197" i="5"/>
  <c r="I245" i="5"/>
  <c r="J245" i="5" s="1"/>
  <c r="I261" i="5"/>
  <c r="J261" i="5" s="1"/>
  <c r="J124" i="5"/>
  <c r="J204" i="5"/>
  <c r="J220" i="5"/>
  <c r="J236" i="5"/>
  <c r="J252" i="5"/>
  <c r="I274" i="3"/>
  <c r="J274" i="3" s="1"/>
  <c r="I93" i="3"/>
  <c r="J93" i="3" s="1"/>
  <c r="I30" i="3"/>
  <c r="J14" i="3"/>
  <c r="I373" i="3"/>
  <c r="J373" i="3" s="1"/>
  <c r="I219" i="3"/>
  <c r="J219" i="3" s="1"/>
  <c r="I155" i="3"/>
  <c r="J155" i="3" s="1"/>
  <c r="J92" i="3"/>
  <c r="I53" i="3"/>
  <c r="J53" i="3" s="1"/>
  <c r="J291" i="3"/>
  <c r="J86" i="3"/>
  <c r="I34" i="3"/>
  <c r="J34" i="3" s="1"/>
  <c r="I249" i="3"/>
  <c r="J249" i="3" s="1"/>
  <c r="I185" i="3"/>
  <c r="J185" i="3" s="1"/>
  <c r="I123" i="3"/>
  <c r="J123" i="3" s="1"/>
  <c r="J256" i="3"/>
  <c r="I85" i="3"/>
  <c r="J85" i="3" s="1"/>
  <c r="I31" i="3"/>
  <c r="J15" i="3"/>
  <c r="I395" i="3"/>
  <c r="J395" i="3" s="1"/>
  <c r="I223" i="3"/>
  <c r="J223" i="3" s="1"/>
  <c r="I159" i="3"/>
  <c r="I95" i="3"/>
  <c r="I389" i="3"/>
  <c r="J126" i="3"/>
  <c r="I70" i="3"/>
  <c r="J70" i="3" s="1"/>
  <c r="J490" i="3"/>
  <c r="J522" i="3"/>
  <c r="J554" i="3"/>
  <c r="J5" i="5"/>
  <c r="I400" i="3"/>
  <c r="J432" i="3"/>
  <c r="J464" i="3"/>
  <c r="J496" i="3"/>
  <c r="J528" i="3"/>
  <c r="J560" i="3"/>
  <c r="I290" i="3"/>
  <c r="J290" i="3" s="1"/>
  <c r="I306" i="3"/>
  <c r="I322" i="3"/>
  <c r="J322" i="3" s="1"/>
  <c r="I338" i="3"/>
  <c r="J338" i="3" s="1"/>
  <c r="I354" i="3"/>
  <c r="J354" i="3" s="1"/>
  <c r="I370" i="3"/>
  <c r="J370" i="3" s="1"/>
  <c r="I386" i="3"/>
  <c r="J386" i="3" s="1"/>
  <c r="J438" i="3"/>
  <c r="J566" i="3"/>
  <c r="I409" i="3"/>
  <c r="J409" i="3" s="1"/>
  <c r="I441" i="3"/>
  <c r="J441" i="3" s="1"/>
  <c r="I473" i="3"/>
  <c r="J473" i="3" s="1"/>
  <c r="I505" i="3"/>
  <c r="J505" i="3" s="1"/>
  <c r="I537" i="3"/>
  <c r="J537" i="3" s="1"/>
  <c r="I569" i="3"/>
  <c r="J569" i="3" s="1"/>
  <c r="J47" i="5"/>
  <c r="J63" i="5"/>
  <c r="J79" i="5"/>
  <c r="J95" i="5"/>
  <c r="I9" i="5"/>
  <c r="J9" i="5" s="1"/>
  <c r="I25" i="5"/>
  <c r="J25" i="5" s="1"/>
  <c r="I41" i="5"/>
  <c r="J41" i="5" s="1"/>
  <c r="I57" i="5"/>
  <c r="J57" i="5" s="1"/>
  <c r="I73" i="5"/>
  <c r="J73" i="5" s="1"/>
  <c r="I89" i="5"/>
  <c r="J89" i="5" s="1"/>
  <c r="I105" i="5"/>
  <c r="J105" i="5" s="1"/>
  <c r="J163" i="5"/>
  <c r="J227" i="5"/>
  <c r="J133" i="5"/>
  <c r="J197" i="5"/>
  <c r="I119" i="5"/>
  <c r="J119" i="5" s="1"/>
  <c r="I135" i="5"/>
  <c r="J135" i="5" s="1"/>
  <c r="I151" i="5"/>
  <c r="I167" i="5"/>
  <c r="I183" i="5"/>
  <c r="J183" i="5" s="1"/>
  <c r="I199" i="5"/>
  <c r="J199" i="5" s="1"/>
  <c r="I215" i="5"/>
  <c r="J215" i="5" s="1"/>
  <c r="I231" i="5"/>
  <c r="I247" i="5"/>
  <c r="J247" i="5" s="1"/>
  <c r="I263" i="5"/>
  <c r="I279" i="5"/>
  <c r="J126" i="5"/>
  <c r="J142" i="5"/>
  <c r="J158" i="5"/>
  <c r="J174" i="5"/>
  <c r="J190" i="5"/>
  <c r="J206" i="5"/>
  <c r="J222" i="5"/>
  <c r="J238" i="5"/>
  <c r="J254" i="5"/>
  <c r="J270" i="5"/>
  <c r="I116" i="5"/>
  <c r="J116" i="5" s="1"/>
  <c r="I132" i="5"/>
  <c r="J132" i="5" s="1"/>
  <c r="I148" i="5"/>
  <c r="I164" i="5"/>
  <c r="I180" i="5"/>
  <c r="I196" i="5"/>
  <c r="J196" i="5" s="1"/>
  <c r="I212" i="5"/>
  <c r="I228" i="5"/>
  <c r="J228" i="5" s="1"/>
  <c r="I244" i="5"/>
  <c r="J244" i="5" s="1"/>
  <c r="I260" i="5"/>
  <c r="J260" i="5" s="1"/>
  <c r="I276" i="5"/>
  <c r="J261" i="3"/>
  <c r="J82" i="3"/>
  <c r="J28" i="3"/>
  <c r="J12" i="3"/>
  <c r="I345" i="3"/>
  <c r="J345" i="3" s="1"/>
  <c r="I211" i="3"/>
  <c r="J211" i="3" s="1"/>
  <c r="I147" i="3"/>
  <c r="I87" i="3"/>
  <c r="J48" i="3"/>
  <c r="J269" i="3"/>
  <c r="I81" i="3"/>
  <c r="J81" i="3" s="1"/>
  <c r="I241" i="3"/>
  <c r="J241" i="3" s="1"/>
  <c r="I177" i="3"/>
  <c r="J177" i="3" s="1"/>
  <c r="J112" i="3"/>
  <c r="I55" i="3"/>
  <c r="J55" i="3" s="1"/>
  <c r="J138" i="3"/>
  <c r="I75" i="3"/>
  <c r="J75" i="3" s="1"/>
  <c r="J29" i="3"/>
  <c r="J13" i="3"/>
  <c r="J307" i="3"/>
  <c r="I215" i="3"/>
  <c r="J215" i="3" s="1"/>
  <c r="I151" i="3"/>
  <c r="J151" i="3" s="1"/>
  <c r="J84" i="3"/>
  <c r="I49" i="3"/>
  <c r="J49" i="3" s="1"/>
  <c r="J355" i="3"/>
  <c r="I121" i="3"/>
  <c r="J121" i="3" s="1"/>
  <c r="I62" i="3"/>
  <c r="J62" i="3" s="1"/>
  <c r="I91" i="5"/>
  <c r="J91" i="5" s="1"/>
  <c r="I107" i="5"/>
  <c r="J107" i="5" s="1"/>
  <c r="J14" i="5"/>
  <c r="J78" i="5"/>
  <c r="J110" i="5"/>
  <c r="J171" i="5"/>
  <c r="J235" i="5"/>
  <c r="I6" i="5"/>
  <c r="I22" i="5"/>
  <c r="J22" i="5" s="1"/>
  <c r="I38" i="5"/>
  <c r="I54" i="5"/>
  <c r="I70" i="5"/>
  <c r="I86" i="5"/>
  <c r="I102" i="5"/>
  <c r="J102" i="5" s="1"/>
  <c r="J141" i="5"/>
  <c r="J269" i="5"/>
  <c r="I121" i="5"/>
  <c r="I153" i="5"/>
  <c r="J153" i="5" s="1"/>
  <c r="I169" i="5"/>
  <c r="J169" i="5" s="1"/>
  <c r="I201" i="5"/>
  <c r="J201" i="5" s="1"/>
  <c r="I217" i="5"/>
  <c r="J217" i="5" s="1"/>
  <c r="I233" i="5"/>
  <c r="J233" i="5" s="1"/>
  <c r="I249" i="5"/>
  <c r="J249" i="5" s="1"/>
  <c r="J112" i="5"/>
  <c r="J128" i="5"/>
  <c r="J144" i="5"/>
  <c r="J160" i="5"/>
  <c r="J176" i="5"/>
  <c r="J192" i="5"/>
  <c r="J208" i="5"/>
  <c r="J224" i="5"/>
  <c r="J240" i="5"/>
  <c r="J256" i="5"/>
  <c r="J272" i="5"/>
  <c r="I141" i="3"/>
  <c r="J141" i="3" s="1"/>
  <c r="I77" i="3"/>
  <c r="J77" i="3" s="1"/>
  <c r="J26" i="3"/>
  <c r="J10" i="3"/>
  <c r="J320" i="3"/>
  <c r="I203" i="3"/>
  <c r="J203" i="3" s="1"/>
  <c r="J140" i="3"/>
  <c r="I45" i="3"/>
  <c r="J45" i="3" s="1"/>
  <c r="J134" i="3"/>
  <c r="J76" i="3"/>
  <c r="J511" i="3"/>
  <c r="I233" i="3"/>
  <c r="J233" i="3" s="1"/>
  <c r="I169" i="3"/>
  <c r="J169" i="3" s="1"/>
  <c r="I107" i="3"/>
  <c r="J107" i="3" s="1"/>
  <c r="J50" i="3"/>
  <c r="I23" i="3"/>
  <c r="J23" i="3" s="1"/>
  <c r="I7" i="3"/>
  <c r="I133" i="3"/>
  <c r="J133" i="3" s="1"/>
  <c r="I71" i="3"/>
  <c r="J71" i="3" s="1"/>
  <c r="J27" i="3"/>
  <c r="J11" i="3"/>
  <c r="I282" i="3"/>
  <c r="J282" i="3" s="1"/>
  <c r="I207" i="3"/>
  <c r="I143" i="3"/>
  <c r="I79" i="3"/>
  <c r="J44" i="3"/>
  <c r="I329" i="3"/>
  <c r="J110" i="3"/>
  <c r="I54" i="3"/>
  <c r="J54" i="3" s="1"/>
  <c r="J377" i="3"/>
  <c r="J487" i="3"/>
  <c r="I268" i="3"/>
  <c r="J268" i="3" s="1"/>
  <c r="J303" i="3"/>
  <c r="J348" i="3"/>
  <c r="I412" i="3"/>
  <c r="J412" i="3" s="1"/>
  <c r="J19" i="5"/>
  <c r="J47" i="3"/>
  <c r="J63" i="3"/>
  <c r="J79" i="3"/>
  <c r="J95" i="3"/>
  <c r="J127" i="3"/>
  <c r="J143" i="3"/>
  <c r="J159" i="3"/>
  <c r="J207" i="3"/>
  <c r="J255" i="3"/>
  <c r="I287" i="3"/>
  <c r="J287" i="3" s="1"/>
  <c r="J329" i="3"/>
  <c r="J468" i="3"/>
  <c r="I495" i="3"/>
  <c r="J495" i="3" s="1"/>
  <c r="I527" i="3"/>
  <c r="J527" i="3" s="1"/>
  <c r="I559" i="3"/>
  <c r="J559" i="3" s="1"/>
  <c r="J402" i="3"/>
  <c r="J434" i="3"/>
  <c r="J466" i="3"/>
  <c r="J498" i="3"/>
  <c r="J530" i="3"/>
  <c r="J562" i="3"/>
  <c r="J21" i="5"/>
  <c r="I410" i="3"/>
  <c r="I442" i="3"/>
  <c r="I474" i="3"/>
  <c r="J474" i="3" s="1"/>
  <c r="I506" i="3"/>
  <c r="J506" i="3" s="1"/>
  <c r="I538" i="3"/>
  <c r="J538" i="3" s="1"/>
  <c r="I570" i="3"/>
  <c r="J372" i="3"/>
  <c r="J388" i="3"/>
  <c r="J408" i="3"/>
  <c r="J440" i="3"/>
  <c r="J472" i="3"/>
  <c r="J504" i="3"/>
  <c r="J536" i="3"/>
  <c r="J568" i="3"/>
  <c r="J39" i="5"/>
  <c r="I294" i="3"/>
  <c r="J294" i="3" s="1"/>
  <c r="I310" i="3"/>
  <c r="I326" i="3"/>
  <c r="J326" i="3" s="1"/>
  <c r="I342" i="3"/>
  <c r="J342" i="3" s="1"/>
  <c r="I358" i="3"/>
  <c r="J358" i="3" s="1"/>
  <c r="I374" i="3"/>
  <c r="I390" i="3"/>
  <c r="J390" i="3" s="1"/>
  <c r="I416" i="3"/>
  <c r="I448" i="3"/>
  <c r="I480" i="3"/>
  <c r="I512" i="3"/>
  <c r="J512" i="3" s="1"/>
  <c r="I544" i="3"/>
  <c r="J544" i="3" s="1"/>
  <c r="I576" i="3"/>
  <c r="J576" i="3" s="1"/>
  <c r="J414" i="3"/>
  <c r="J446" i="3"/>
  <c r="J478" i="3"/>
  <c r="J510" i="3"/>
  <c r="J542" i="3"/>
  <c r="J574" i="3"/>
  <c r="J137" i="5"/>
  <c r="I417" i="3"/>
  <c r="J417" i="3" s="1"/>
  <c r="I449" i="3"/>
  <c r="J449" i="3" s="1"/>
  <c r="I481" i="3"/>
  <c r="J481" i="3" s="1"/>
  <c r="I513" i="3"/>
  <c r="J513" i="3" s="1"/>
  <c r="I545" i="3"/>
  <c r="J545" i="3" s="1"/>
  <c r="I577" i="3"/>
  <c r="J51" i="5"/>
  <c r="J67" i="5"/>
  <c r="J83" i="5"/>
  <c r="J99" i="5"/>
  <c r="I13" i="5"/>
  <c r="J13" i="5" s="1"/>
  <c r="I29" i="5"/>
  <c r="J29" i="5" s="1"/>
  <c r="I45" i="5"/>
  <c r="J45" i="5" s="1"/>
  <c r="I61" i="5"/>
  <c r="J61" i="5" s="1"/>
  <c r="I77" i="5"/>
  <c r="I93" i="5"/>
  <c r="J93" i="5" s="1"/>
  <c r="I109" i="5"/>
  <c r="J16" i="5"/>
  <c r="J32" i="5"/>
  <c r="J48" i="5"/>
  <c r="J64" i="5"/>
  <c r="J80" i="5"/>
  <c r="J96" i="5"/>
  <c r="J115" i="5"/>
  <c r="J179" i="5"/>
  <c r="J243" i="5"/>
  <c r="I8" i="5"/>
  <c r="J8" i="5" s="1"/>
  <c r="I24" i="5"/>
  <c r="J24" i="5" s="1"/>
  <c r="I40" i="5"/>
  <c r="J40" i="5" s="1"/>
  <c r="I56" i="5"/>
  <c r="J56" i="5" s="1"/>
  <c r="I72" i="5"/>
  <c r="J72" i="5" s="1"/>
  <c r="I88" i="5"/>
  <c r="J88" i="5" s="1"/>
  <c r="I104" i="5"/>
  <c r="J104" i="5" s="1"/>
  <c r="J149" i="5"/>
  <c r="J213" i="5"/>
  <c r="J277" i="5"/>
  <c r="I123" i="5"/>
  <c r="I139" i="5"/>
  <c r="J139" i="5" s="1"/>
  <c r="I155" i="5"/>
  <c r="J155" i="5" s="1"/>
  <c r="I171" i="5"/>
  <c r="I187" i="5"/>
  <c r="I203" i="5"/>
  <c r="J203" i="5" s="1"/>
  <c r="I219" i="5"/>
  <c r="I235" i="5"/>
  <c r="I251" i="5"/>
  <c r="J251" i="5" s="1"/>
  <c r="I267" i="5"/>
  <c r="J267" i="5" s="1"/>
  <c r="J114" i="5"/>
  <c r="J130" i="5"/>
  <c r="J146" i="5"/>
  <c r="J162" i="5"/>
  <c r="J178" i="5"/>
  <c r="J194" i="5"/>
  <c r="J210" i="5"/>
  <c r="J226" i="5"/>
  <c r="J242" i="5"/>
  <c r="J258" i="5"/>
  <c r="J274" i="5"/>
  <c r="I120" i="5"/>
  <c r="I136" i="5"/>
  <c r="I152" i="5"/>
  <c r="J152" i="5" s="1"/>
  <c r="I168" i="5"/>
  <c r="J168" i="5" s="1"/>
  <c r="I184" i="5"/>
  <c r="J184" i="5" s="1"/>
  <c r="I200" i="5"/>
  <c r="I216" i="5"/>
  <c r="J216" i="5" s="1"/>
  <c r="I232" i="5"/>
  <c r="I248" i="5"/>
  <c r="I264" i="5"/>
  <c r="I280" i="5"/>
  <c r="J280" i="5" s="1"/>
  <c r="J130" i="3"/>
  <c r="I73" i="3"/>
  <c r="J73" i="3" s="1"/>
  <c r="J24" i="3"/>
  <c r="J8" i="3"/>
  <c r="I271" i="3"/>
  <c r="J271" i="3" s="1"/>
  <c r="I195" i="3"/>
  <c r="J195" i="3" s="1"/>
  <c r="I135" i="3"/>
  <c r="J135" i="3" s="1"/>
  <c r="J40" i="3"/>
  <c r="I129" i="3"/>
  <c r="J129" i="3" s="1"/>
  <c r="J72" i="3"/>
  <c r="I415" i="3"/>
  <c r="J415" i="3" s="1"/>
  <c r="I225" i="3"/>
  <c r="J225" i="3" s="1"/>
  <c r="I161" i="3"/>
  <c r="J161" i="3" s="1"/>
  <c r="J96" i="3"/>
  <c r="I47" i="3"/>
  <c r="J122" i="3"/>
  <c r="I68" i="3"/>
  <c r="J68" i="3" s="1"/>
  <c r="J25" i="3"/>
  <c r="J9" i="3"/>
  <c r="I266" i="3"/>
  <c r="J266" i="3" s="1"/>
  <c r="I199" i="3"/>
  <c r="J199" i="3" s="1"/>
  <c r="J132" i="3"/>
  <c r="I74" i="3"/>
  <c r="J74" i="3" s="1"/>
  <c r="I41" i="3"/>
  <c r="J41" i="3" s="1"/>
  <c r="J304" i="3"/>
  <c r="I105" i="3"/>
  <c r="J105" i="3" s="1"/>
  <c r="I46" i="3"/>
  <c r="J46" i="3" s="1"/>
  <c r="J34" i="5"/>
  <c r="J66" i="5"/>
  <c r="J123" i="5"/>
  <c r="J187" i="5"/>
  <c r="J279" i="5"/>
  <c r="I141" i="5"/>
  <c r="I157" i="5"/>
  <c r="J157" i="5" s="1"/>
  <c r="I173" i="5"/>
  <c r="J173" i="5" s="1"/>
  <c r="I205" i="5"/>
  <c r="J205" i="5" s="1"/>
  <c r="I221" i="5"/>
  <c r="J221" i="5" s="1"/>
  <c r="I237" i="5"/>
  <c r="J237" i="5" s="1"/>
  <c r="I269" i="5"/>
  <c r="J148" i="5"/>
  <c r="J164" i="5"/>
  <c r="J180" i="5"/>
  <c r="J212" i="5"/>
  <c r="J276" i="5"/>
  <c r="I122" i="5"/>
  <c r="J122" i="5" s="1"/>
  <c r="I138" i="5"/>
  <c r="J138" i="5" s="1"/>
  <c r="I154" i="5"/>
  <c r="J154" i="5" s="1"/>
  <c r="I170" i="5"/>
  <c r="J170" i="5" s="1"/>
  <c r="I186" i="5"/>
  <c r="J186" i="5" s="1"/>
  <c r="I202" i="5"/>
  <c r="J202" i="5" s="1"/>
  <c r="I218" i="5"/>
  <c r="J218" i="5" s="1"/>
  <c r="I234" i="5"/>
  <c r="J234" i="5" s="1"/>
  <c r="I250" i="5"/>
  <c r="J250" i="5" s="1"/>
  <c r="I266" i="5"/>
  <c r="J266" i="5" s="1"/>
  <c r="I447" i="3"/>
  <c r="J447" i="3" s="1"/>
  <c r="I125" i="3"/>
  <c r="J125" i="3" s="1"/>
  <c r="J22" i="3"/>
  <c r="J6" i="3"/>
  <c r="I251" i="3"/>
  <c r="J251" i="3" s="1"/>
  <c r="I187" i="3"/>
  <c r="J187" i="3" s="1"/>
  <c r="J124" i="3"/>
  <c r="I69" i="3"/>
  <c r="J69" i="3" s="1"/>
  <c r="I37" i="3"/>
  <c r="J37" i="3" s="1"/>
  <c r="J118" i="3"/>
  <c r="J339" i="3"/>
  <c r="I217" i="3"/>
  <c r="J217" i="3" s="1"/>
  <c r="I153" i="3"/>
  <c r="J153" i="3" s="1"/>
  <c r="I91" i="3"/>
  <c r="J91" i="3" s="1"/>
  <c r="J42" i="3"/>
  <c r="I117" i="3"/>
  <c r="J117" i="3" s="1"/>
  <c r="J7" i="3"/>
  <c r="I255" i="3"/>
  <c r="I191" i="3"/>
  <c r="J191" i="3" s="1"/>
  <c r="I127" i="3"/>
  <c r="J36" i="3"/>
  <c r="I279" i="3"/>
  <c r="J279" i="3" s="1"/>
  <c r="J94" i="3"/>
  <c r="I38" i="3"/>
  <c r="J38" i="3" s="1"/>
  <c r="J393" i="3"/>
  <c r="J524" i="3"/>
  <c r="I276" i="3"/>
  <c r="J316" i="3"/>
  <c r="I357" i="3"/>
  <c r="J357" i="3" s="1"/>
  <c r="I444" i="3"/>
  <c r="J444" i="3" s="1"/>
  <c r="J35" i="3"/>
  <c r="J51" i="3"/>
  <c r="J67" i="3"/>
  <c r="J83" i="3"/>
  <c r="J99" i="3"/>
  <c r="J115" i="3"/>
  <c r="J131" i="3"/>
  <c r="J147" i="3"/>
  <c r="J163" i="3"/>
  <c r="J179" i="3"/>
  <c r="J227" i="3"/>
  <c r="J243" i="3"/>
  <c r="J263" i="3"/>
  <c r="J297" i="3"/>
  <c r="J389" i="3"/>
  <c r="J508" i="3"/>
  <c r="I503" i="3"/>
  <c r="J503" i="3" s="1"/>
  <c r="I535" i="3"/>
  <c r="I567" i="3"/>
  <c r="J567" i="3" s="1"/>
  <c r="J410" i="3"/>
  <c r="J442" i="3"/>
  <c r="J570" i="3"/>
  <c r="J37" i="5"/>
  <c r="I418" i="3"/>
  <c r="J418" i="3" s="1"/>
  <c r="I450" i="3"/>
  <c r="J450" i="3" s="1"/>
  <c r="I482" i="3"/>
  <c r="J482" i="3" s="1"/>
  <c r="I514" i="3"/>
  <c r="J514" i="3" s="1"/>
  <c r="I546" i="3"/>
  <c r="J546" i="3" s="1"/>
  <c r="I578" i="3"/>
  <c r="J376" i="3"/>
  <c r="J392" i="3"/>
  <c r="J416" i="3"/>
  <c r="J448" i="3"/>
  <c r="J480" i="3"/>
  <c r="J185" i="5"/>
  <c r="I298" i="3"/>
  <c r="I314" i="3"/>
  <c r="J314" i="3" s="1"/>
  <c r="I330" i="3"/>
  <c r="J330" i="3" s="1"/>
  <c r="I346" i="3"/>
  <c r="J346" i="3" s="1"/>
  <c r="I362" i="3"/>
  <c r="J362" i="3" s="1"/>
  <c r="I378" i="3"/>
  <c r="J378" i="3" s="1"/>
  <c r="I394" i="3"/>
  <c r="I424" i="3"/>
  <c r="J424" i="3" s="1"/>
  <c r="I456" i="3"/>
  <c r="J456" i="3" s="1"/>
  <c r="I488" i="3"/>
  <c r="J488" i="3" s="1"/>
  <c r="I520" i="3"/>
  <c r="J520" i="3" s="1"/>
  <c r="I552" i="3"/>
  <c r="J552" i="3" s="1"/>
  <c r="J129" i="5"/>
  <c r="J422" i="3"/>
  <c r="J454" i="3"/>
  <c r="J486" i="3"/>
  <c r="J518" i="3"/>
  <c r="J550" i="3"/>
  <c r="J582" i="3"/>
  <c r="J265" i="5"/>
  <c r="I425" i="3"/>
  <c r="J425" i="3" s="1"/>
  <c r="I457" i="3"/>
  <c r="J457" i="3" s="1"/>
  <c r="I489" i="3"/>
  <c r="J489" i="3" s="1"/>
  <c r="I521" i="3"/>
  <c r="J521" i="3" s="1"/>
  <c r="I553" i="3"/>
  <c r="J553" i="3" s="1"/>
  <c r="J145" i="5"/>
  <c r="J55" i="5"/>
  <c r="J71" i="5"/>
  <c r="J87" i="5"/>
  <c r="J103" i="5"/>
  <c r="J207" i="5"/>
  <c r="I17" i="5"/>
  <c r="J17" i="5" s="1"/>
  <c r="I33" i="5"/>
  <c r="J33" i="5" s="1"/>
  <c r="I49" i="5"/>
  <c r="J49" i="5" s="1"/>
  <c r="I65" i="5"/>
  <c r="J65" i="5" s="1"/>
  <c r="I81" i="5"/>
  <c r="J81" i="5" s="1"/>
  <c r="I97" i="5"/>
  <c r="J4" i="5"/>
  <c r="J20" i="5"/>
  <c r="J36" i="5"/>
  <c r="J52" i="5"/>
  <c r="J68" i="5"/>
  <c r="J84" i="5"/>
  <c r="J100" i="5"/>
  <c r="J131" i="5"/>
  <c r="J195" i="5"/>
  <c r="J259" i="5"/>
  <c r="I12" i="5"/>
  <c r="J12" i="5" s="1"/>
  <c r="I28" i="5"/>
  <c r="J28" i="5" s="1"/>
  <c r="I44" i="5"/>
  <c r="J44" i="5" s="1"/>
  <c r="I60" i="5"/>
  <c r="J60" i="5" s="1"/>
  <c r="I76" i="5"/>
  <c r="J76" i="5" s="1"/>
  <c r="I92" i="5"/>
  <c r="J92" i="5" s="1"/>
  <c r="I108" i="5"/>
  <c r="J108" i="5" s="1"/>
  <c r="J165" i="5"/>
  <c r="J229" i="5"/>
  <c r="I111" i="5"/>
  <c r="J111" i="5" s="1"/>
  <c r="I127" i="5"/>
  <c r="J127" i="5" s="1"/>
  <c r="I143" i="5"/>
  <c r="J143" i="5" s="1"/>
  <c r="I159" i="5"/>
  <c r="J159" i="5" s="1"/>
  <c r="I175" i="5"/>
  <c r="J175" i="5" s="1"/>
  <c r="I191" i="5"/>
  <c r="J191" i="5" s="1"/>
  <c r="I207" i="5"/>
  <c r="I223" i="5"/>
  <c r="J223" i="5" s="1"/>
  <c r="I239" i="5"/>
  <c r="J239" i="5" s="1"/>
  <c r="I255" i="5"/>
  <c r="J255" i="5" s="1"/>
  <c r="I271" i="5"/>
  <c r="J271" i="5" s="1"/>
  <c r="J118" i="5"/>
  <c r="J134" i="5"/>
  <c r="J150" i="5"/>
  <c r="J166" i="5"/>
  <c r="J182" i="5"/>
  <c r="J198" i="5"/>
  <c r="J214" i="5"/>
  <c r="J230" i="5"/>
  <c r="J246" i="5"/>
  <c r="J262" i="5"/>
  <c r="J278" i="5"/>
  <c r="I124" i="5"/>
  <c r="I140" i="5"/>
  <c r="J140" i="5" s="1"/>
  <c r="I156" i="5"/>
  <c r="J156" i="5" s="1"/>
  <c r="I172" i="5"/>
  <c r="J172" i="5" s="1"/>
  <c r="I188" i="5"/>
  <c r="J188" i="5" s="1"/>
  <c r="I204" i="5"/>
  <c r="I220" i="5"/>
  <c r="I236" i="5"/>
  <c r="I252" i="5"/>
  <c r="I268" i="5"/>
  <c r="J268" i="5" s="1"/>
  <c r="J379" i="3"/>
  <c r="J114" i="3"/>
  <c r="I56" i="3"/>
  <c r="J56" i="3" s="1"/>
  <c r="J20" i="3"/>
  <c r="J4" i="3"/>
  <c r="I243" i="3"/>
  <c r="I179" i="3"/>
  <c r="I119" i="3"/>
  <c r="J119" i="3" s="1"/>
  <c r="J64" i="3"/>
  <c r="I32" i="3"/>
  <c r="J32" i="3" s="1"/>
  <c r="I113" i="3"/>
  <c r="J113" i="3" s="1"/>
  <c r="I58" i="3"/>
  <c r="J58" i="3" s="1"/>
  <c r="I313" i="3"/>
  <c r="J313" i="3" s="1"/>
  <c r="I209" i="3"/>
  <c r="J209" i="3" s="1"/>
  <c r="I145" i="3"/>
  <c r="J145" i="3" s="1"/>
  <c r="J80" i="3"/>
  <c r="I39" i="3"/>
  <c r="J39" i="3" s="1"/>
  <c r="I17" i="3"/>
  <c r="J17" i="3" s="1"/>
  <c r="I404" i="3"/>
  <c r="J404" i="3" s="1"/>
  <c r="J106" i="3"/>
  <c r="I52" i="3"/>
  <c r="J52" i="3" s="1"/>
  <c r="J21" i="3"/>
  <c r="J5" i="3"/>
  <c r="I247" i="3"/>
  <c r="J247" i="3" s="1"/>
  <c r="I183" i="3"/>
  <c r="J116" i="3"/>
  <c r="I65" i="3"/>
  <c r="J264" i="3"/>
  <c r="I89" i="3"/>
  <c r="J89" i="3" s="1"/>
  <c r="J33" i="3"/>
  <c r="J38" i="5"/>
  <c r="J54" i="5"/>
  <c r="J70" i="5"/>
  <c r="J86" i="5"/>
  <c r="I14" i="5"/>
  <c r="I30" i="5"/>
  <c r="J30" i="5" s="1"/>
  <c r="I46" i="5"/>
  <c r="J46" i="5" s="1"/>
  <c r="I62" i="5"/>
  <c r="J62" i="5" s="1"/>
  <c r="I78" i="5"/>
  <c r="I94" i="5"/>
  <c r="J94" i="5" s="1"/>
  <c r="I110" i="5"/>
  <c r="I113" i="5"/>
  <c r="J113" i="5" s="1"/>
  <c r="I161" i="5"/>
  <c r="J161" i="5" s="1"/>
  <c r="I177" i="5"/>
  <c r="J177" i="5" s="1"/>
  <c r="I193" i="5"/>
  <c r="J193" i="5" s="1"/>
  <c r="I209" i="5"/>
  <c r="J209" i="5" s="1"/>
  <c r="I225" i="5"/>
  <c r="J225" i="5" s="1"/>
  <c r="I241" i="5"/>
  <c r="J241" i="5" s="1"/>
  <c r="I257" i="5"/>
  <c r="J257" i="5" s="1"/>
  <c r="I273" i="5"/>
  <c r="J273" i="5" s="1"/>
  <c r="J120" i="5"/>
  <c r="J136" i="5"/>
  <c r="J200" i="5"/>
  <c r="J232" i="5"/>
  <c r="J248" i="5"/>
  <c r="J264" i="5"/>
  <c r="J323" i="3"/>
  <c r="I109" i="3"/>
  <c r="J109" i="3" s="1"/>
  <c r="J18" i="3"/>
  <c r="J2" i="3"/>
  <c r="B12" i="2"/>
  <c r="B12" i="1" s="1"/>
  <c r="B4" i="2"/>
  <c r="B4" i="1" s="1"/>
  <c r="I235" i="3"/>
  <c r="J235" i="3" s="1"/>
  <c r="I171" i="3"/>
  <c r="J171" i="3" s="1"/>
  <c r="J108" i="3"/>
  <c r="I61" i="3"/>
  <c r="J61" i="3" s="1"/>
  <c r="J30" i="3"/>
  <c r="J102" i="3"/>
  <c r="J288" i="3"/>
  <c r="I201" i="3"/>
  <c r="J201" i="3" s="1"/>
  <c r="I139" i="3"/>
  <c r="J139" i="3" s="1"/>
  <c r="J66" i="3"/>
  <c r="I361" i="3"/>
  <c r="J361" i="3" s="1"/>
  <c r="I101" i="3"/>
  <c r="J101" i="3" s="1"/>
  <c r="J19" i="3"/>
  <c r="J3" i="3"/>
  <c r="I239" i="3"/>
  <c r="J239" i="3" s="1"/>
  <c r="I175" i="3"/>
  <c r="J175" i="3" s="1"/>
  <c r="I111" i="3"/>
  <c r="J111" i="3" s="1"/>
  <c r="J60" i="3"/>
  <c r="J31" i="3"/>
  <c r="J142" i="3"/>
  <c r="J78" i="3"/>
  <c r="B11" i="4" l="1"/>
  <c r="C11" i="1" s="1"/>
  <c r="B11" i="2"/>
  <c r="B11" i="1" s="1"/>
  <c r="B16" i="4"/>
  <c r="C16" i="1" s="1"/>
  <c r="B6" i="4"/>
  <c r="B3" i="4"/>
  <c r="B16" i="2"/>
  <c r="B16" i="1" s="1"/>
  <c r="B7" i="2"/>
  <c r="B7" i="1" s="1"/>
  <c r="B6" i="2"/>
  <c r="B3" i="2"/>
  <c r="B3" i="1" l="1"/>
  <c r="B8" i="2"/>
  <c r="B9" i="2"/>
  <c r="B9" i="1" s="1"/>
  <c r="B6" i="1"/>
  <c r="B8" i="4"/>
  <c r="C3" i="1"/>
  <c r="B9" i="4"/>
  <c r="C9" i="1" s="1"/>
  <c r="C6" i="1"/>
  <c r="B7" i="4"/>
  <c r="C7" i="1" s="1"/>
  <c r="B10" i="4" l="1"/>
  <c r="C10" i="1" s="1"/>
  <c r="C8" i="1"/>
  <c r="B10" i="2"/>
  <c r="B10" i="1" s="1"/>
  <c r="B8" i="1"/>
</calcChain>
</file>

<file path=xl/sharedStrings.xml><?xml version="1.0" encoding="utf-8"?>
<sst xmlns="http://schemas.openxmlformats.org/spreadsheetml/2006/main" count="103" uniqueCount="49">
  <si>
    <t>SEBE vs Python model: West and East compared (kWh/m²/year)</t>
  </si>
  <si>
    <t>Metric</t>
  </si>
  <si>
    <t>West</t>
  </si>
  <si>
    <t>East</t>
  </si>
  <si>
    <t>Number of roofs</t>
  </si>
  <si>
    <t>SEBE mean of roof means (kWh/m²/yr)</t>
  </si>
  <si>
    <t>Python mean of roof means (kWh/m²/yr)</t>
  </si>
  <si>
    <t>Bias (Python − SEBE, kWh/m²/yr)</t>
  </si>
  <si>
    <t>MAE (kWh/m²/yr)</t>
  </si>
  <si>
    <t>RMSE (kWh/m²/yr)</t>
  </si>
  <si>
    <t>NMBE (bias as % of SEBE mean)</t>
  </si>
  <si>
    <t>NRMSE (RMSE as % of SEBE mean)</t>
  </si>
  <si>
    <t>Median % difference</t>
  </si>
  <si>
    <t>Pearson r</t>
  </si>
  <si>
    <t>R²</t>
  </si>
  <si>
    <t>Regression slope (Python vs SEBE)</t>
  </si>
  <si>
    <t>Regression intercept (kWh/m²/yr)</t>
  </si>
  <si>
    <t>Roofs where Python &gt; SEBE</t>
  </si>
  <si>
    <t>Spearman rho</t>
  </si>
  <si>
    <t>Wilcoxon signed-rank p-value</t>
  </si>
  <si>
    <t>Green = linked from the area summary sheets. Positive bias = Python higher than SEBE.</t>
  </si>
  <si>
    <t>Raster cell size (m)</t>
  </si>
  <si>
    <t>Stated by user: 0.5 m cells</t>
  </si>
  <si>
    <t>Raster cell area (m²)</t>
  </si>
  <si>
    <t>Used to convert kWh per cell per year to kWh/m²/year</t>
  </si>
  <si>
    <t>West area: SEBE vs Python model (per-roof mean, kWh/m²/year)</t>
  </si>
  <si>
    <t>Value</t>
  </si>
  <si>
    <t>Notes</t>
  </si>
  <si>
    <t>Roofs with both a SEBE and a Python mean</t>
  </si>
  <si>
    <t>Per-cell kWh/yr ÷ cell area</t>
  </si>
  <si>
    <t>Positive = Python higher</t>
  </si>
  <si>
    <t>Mean absolute error</t>
  </si>
  <si>
    <t>1 = no scaling error</t>
  </si>
  <si>
    <t>0 = no constant offset</t>
  </si>
  <si>
    <t>Computed in Python (scipy); rank-based, so unit-independent</t>
  </si>
  <si>
    <t>Computed in Python (scipy), two-sided, paired</t>
  </si>
  <si>
    <t>Blue = values from your shapefiles or computed in Python; black = Excel formulas. Roofs joined on fid (581 matched, same polygons in both files).</t>
  </si>
  <si>
    <t>fid</t>
  </si>
  <si>
    <t>BUILD_ID</t>
  </si>
  <si>
    <t>Pixel count (SEBE)</t>
  </si>
  <si>
    <t>Pixel count (Python)</t>
  </si>
  <si>
    <t>SEBE mean (kWh/cell/yr)</t>
  </si>
  <si>
    <t>Python mean (kWh/cell/yr)</t>
  </si>
  <si>
    <t>SEBE mean (kWh/m²/yr)</t>
  </si>
  <si>
    <t>Python mean (kWh/m²/yr)</t>
  </si>
  <si>
    <t>Difference (Python − SEBE, kWh/m²/yr)</t>
  </si>
  <si>
    <t>% difference (vs SEBE)</t>
  </si>
  <si>
    <t>East area: SEBE vs Python model (per-roof mean, kWh/m²/year)</t>
  </si>
  <si>
    <t>Blue = values from your shapefiles or computed in Python; black = Excel formulas. Roofs joined on fid (279 matched, same polygons in both files).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</si>
</sst>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0.000"/>
  </numFmts>
  <fonts count="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008000"/>
      <name val="Arial"/>
      <charset val="1"/>
    </font>
    <font>
      <i/>
      <sz val="9"/>
      <name val="Arial"/>
      <charset val="1"/>
    </font>
    <font>
      <sz val="11"/>
      <color rgb="FF0000FF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1" xfId="0" applyFont="1" applyBorder="1"/>
    <xf numFmtId="1" fontId="4" fillId="0" borderId="1" xfId="0" applyNumberFormat="1" applyFont="1" applyBorder="1"/>
    <xf numFmtId="164" fontId="4" fillId="0" borderId="1" xfId="0" applyNumberFormat="1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1" fontId="4" fillId="0" borderId="1" xfId="0" applyNumberFormat="1" applyFont="1" applyBorder="1"/>
    <xf numFmtId="0" fontId="5" fillId="0" borderId="0" xfId="0" applyFont="1"/>
    <xf numFmtId="0" fontId="6" fillId="0" borderId="1" xfId="0" applyFont="1" applyBorder="1"/>
    <xf numFmtId="1" fontId="3" fillId="0" borderId="1" xfId="0" applyNumberFormat="1" applyFont="1" applyBorder="1"/>
    <xf numFmtId="164" fontId="3" fillId="0" borderId="1" xfId="0" applyNumberFormat="1" applyFont="1" applyBorder="1"/>
    <xf numFmtId="165" fontId="3" fillId="0" borderId="1" xfId="0" applyNumberFormat="1" applyFont="1" applyBorder="1"/>
    <xf numFmtId="166" fontId="3" fillId="0" borderId="1" xfId="0" applyNumberFormat="1" applyFont="1" applyBorder="1"/>
    <xf numFmtId="166" fontId="6" fillId="0" borderId="1" xfId="0" applyNumberFormat="1" applyFont="1" applyBorder="1"/>
    <xf numFmtId="11" fontId="6" fillId="0" borderId="1" xfId="0" applyNumberFormat="1" applyFont="1" applyBorder="1"/>
    <xf numFmtId="0" fontId="2" fillId="2" borderId="1" xfId="0" applyFont="1" applyFill="1" applyBorder="1" applyAlignment="1">
      <alignment horizontal="center" vertical="center" wrapText="1"/>
    </xf>
    <xf numFmtId="164" fontId="6" fillId="0" borderId="1" xfId="0" applyNumberFormat="1" applyFont="1" applyBorder="1"/>
    <xf numFmtId="2" fontId="6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tabSelected="1" topLeftCell="A2" zoomScaleNormal="100" workbookViewId="0"/>
  </sheetViews>
  <sheetFormatPr defaultColWidth="8.6328125" defaultRowHeight="14.5" x14ac:dyDescent="0.35"/>
  <cols>
    <col min="1" max="1" width="40" customWidth="1"/>
    <col min="2" max="2" width="16" customWidth="1"/>
    <col min="3" max="3" width="52" customWidth="1"/>
  </cols>
  <sheetData>
    <row r="1" spans="1:3" ht="16.5" x14ac:dyDescent="0.35">
      <c r="A1" s="1" t="s">
        <v>0</v>
      </c>
    </row>
    <row r="2" spans="1:3" x14ac:dyDescent="0.35">
      <c r="A2" s="2" t="s">
        <v>1</v>
      </c>
      <c r="B2" s="2" t="s">
        <v>2</v>
      </c>
      <c r="C2" s="2" t="s">
        <v>3</v>
      </c>
    </row>
    <row r="3" spans="1:3" x14ac:dyDescent="0.35">
      <c r="A3" s="3" t="s">
        <v>4</v>
      </c>
      <c r="B3" s="4">
        <f>West_Summary!B3</f>
        <v>581</v>
      </c>
      <c r="C3" s="4">
        <f>East_Summary!B3</f>
        <v>279</v>
      </c>
    </row>
    <row r="4" spans="1:3" x14ac:dyDescent="0.35">
      <c r="A4" s="3" t="s">
        <v>5</v>
      </c>
      <c r="B4" s="5">
        <f>West_Summary!B4</f>
        <v>1334.3593972088861</v>
      </c>
      <c r="C4" s="5">
        <f>East_Summary!B4</f>
        <v>1253.2923560015317</v>
      </c>
    </row>
    <row r="5" spans="1:3" x14ac:dyDescent="0.35">
      <c r="A5" s="3" t="s">
        <v>6</v>
      </c>
      <c r="B5" s="5">
        <f>West_Summary!B5</f>
        <v>1459.0237699971383</v>
      </c>
      <c r="C5" s="5">
        <f>East_Summary!B5</f>
        <v>1376.7013867593805</v>
      </c>
    </row>
    <row r="6" spans="1:3" x14ac:dyDescent="0.35">
      <c r="A6" s="3" t="s">
        <v>7</v>
      </c>
      <c r="B6" s="5">
        <f>West_Summary!B6</f>
        <v>124.66437278825126</v>
      </c>
      <c r="C6" s="5">
        <f>East_Summary!B6</f>
        <v>123.40903075784802</v>
      </c>
    </row>
    <row r="7" spans="1:3" x14ac:dyDescent="0.35">
      <c r="A7" s="3" t="s">
        <v>8</v>
      </c>
      <c r="B7" s="5">
        <f>West_Summary!B7</f>
        <v>124.66437278825126</v>
      </c>
      <c r="C7" s="5">
        <f>East_Summary!B7</f>
        <v>123.40903075784802</v>
      </c>
    </row>
    <row r="8" spans="1:3" x14ac:dyDescent="0.35">
      <c r="A8" s="3" t="s">
        <v>9</v>
      </c>
      <c r="B8" s="5">
        <f>West_Summary!B8</f>
        <v>130.92887357483306</v>
      </c>
      <c r="C8" s="5">
        <f>East_Summary!B8</f>
        <v>129.30167441175792</v>
      </c>
    </row>
    <row r="9" spans="1:3" x14ac:dyDescent="0.35">
      <c r="A9" s="3" t="s">
        <v>10</v>
      </c>
      <c r="B9" s="6">
        <f>West_Summary!B9</f>
        <v>9.342638351332852E-2</v>
      </c>
      <c r="C9" s="6">
        <f>East_Summary!B9</f>
        <v>9.846787157592557E-2</v>
      </c>
    </row>
    <row r="10" spans="1:3" x14ac:dyDescent="0.35">
      <c r="A10" s="3" t="s">
        <v>11</v>
      </c>
      <c r="B10" s="6">
        <f>West_Summary!B10</f>
        <v>9.8121146258422096E-2</v>
      </c>
      <c r="C10" s="6">
        <f>East_Summary!B10</f>
        <v>0.1031696026809565</v>
      </c>
    </row>
    <row r="11" spans="1:3" x14ac:dyDescent="0.35">
      <c r="A11" s="3" t="s">
        <v>12</v>
      </c>
      <c r="B11" s="6">
        <f>West_Summary!B11</f>
        <v>8.7360728341788249E-2</v>
      </c>
      <c r="C11" s="6">
        <f>East_Summary!B11</f>
        <v>8.7419461613596205E-2</v>
      </c>
    </row>
    <row r="12" spans="1:3" x14ac:dyDescent="0.35">
      <c r="A12" s="3" t="s">
        <v>13</v>
      </c>
      <c r="B12" s="7">
        <f>West_Summary!B12</f>
        <v>0.95579174749897544</v>
      </c>
      <c r="C12" s="7">
        <f>East_Summary!B12</f>
        <v>0.98109564082275103</v>
      </c>
    </row>
    <row r="13" spans="1:3" x14ac:dyDescent="0.35">
      <c r="A13" s="3" t="s">
        <v>14</v>
      </c>
      <c r="B13" s="7">
        <f>West_Summary!B13</f>
        <v>0.91353786458714503</v>
      </c>
      <c r="C13" s="7">
        <f>East_Summary!B13</f>
        <v>0.9625486564414043</v>
      </c>
    </row>
    <row r="14" spans="1:3" x14ac:dyDescent="0.35">
      <c r="A14" s="3" t="s">
        <v>15</v>
      </c>
      <c r="B14" s="7">
        <f>West_Summary!B14</f>
        <v>0.87174707845054367</v>
      </c>
      <c r="C14" s="7">
        <f>East_Summary!B14</f>
        <v>0.83473589385229563</v>
      </c>
    </row>
    <row r="15" spans="1:3" x14ac:dyDescent="0.35">
      <c r="A15" s="3" t="s">
        <v>16</v>
      </c>
      <c r="B15" s="5">
        <f>West_Summary!B15</f>
        <v>295.79986387726331</v>
      </c>
      <c r="C15" s="5">
        <f>East_Summary!B15</f>
        <v>330.53327171419232</v>
      </c>
    </row>
    <row r="16" spans="1:3" x14ac:dyDescent="0.35">
      <c r="A16" s="3" t="s">
        <v>17</v>
      </c>
      <c r="B16" s="4">
        <f>West_Summary!B16</f>
        <v>581</v>
      </c>
      <c r="C16" s="4">
        <f>East_Summary!B16</f>
        <v>279</v>
      </c>
    </row>
    <row r="17" spans="1:3" x14ac:dyDescent="0.35">
      <c r="A17" s="3" t="s">
        <v>18</v>
      </c>
      <c r="B17" s="7">
        <f>West_Summary!B17</f>
        <v>0.94899999999999995</v>
      </c>
      <c r="C17" s="7">
        <f>East_Summary!B17</f>
        <v>0.94259999999999999</v>
      </c>
    </row>
    <row r="18" spans="1:3" x14ac:dyDescent="0.35">
      <c r="A18" s="3" t="s">
        <v>19</v>
      </c>
      <c r="B18" s="8">
        <f>West_Summary!B18</f>
        <v>7.5487341262835396E-97</v>
      </c>
      <c r="C18" s="8">
        <f>East_Summary!B18</f>
        <v>1.65892547313296E-47</v>
      </c>
    </row>
    <row r="20" spans="1:3" x14ac:dyDescent="0.35">
      <c r="A20" s="9" t="s">
        <v>20</v>
      </c>
    </row>
    <row r="22" spans="1:3" x14ac:dyDescent="0.35">
      <c r="A22" s="3" t="s">
        <v>21</v>
      </c>
      <c r="B22" s="10">
        <v>0.5</v>
      </c>
      <c r="C22" s="3" t="s">
        <v>22</v>
      </c>
    </row>
    <row r="23" spans="1:3" x14ac:dyDescent="0.35">
      <c r="A23" s="3" t="s">
        <v>23</v>
      </c>
      <c r="B23" s="3">
        <f>B22*B22</f>
        <v>0.25</v>
      </c>
      <c r="C23" s="3" t="s">
        <v>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0"/>
  <sheetViews>
    <sheetView zoomScaleNormal="100" workbookViewId="0"/>
  </sheetViews>
  <sheetFormatPr defaultColWidth="8.6328125" defaultRowHeight="14.5" x14ac:dyDescent="0.35"/>
  <cols>
    <col min="1" max="1" width="40" customWidth="1"/>
    <col min="2" max="2" width="14" customWidth="1"/>
    <col min="3" max="3" width="56" customWidth="1"/>
  </cols>
  <sheetData>
    <row r="1" spans="1:3" ht="16.5" x14ac:dyDescent="0.35">
      <c r="A1" s="1" t="s">
        <v>25</v>
      </c>
    </row>
    <row r="2" spans="1:3" x14ac:dyDescent="0.35">
      <c r="A2" s="2" t="s">
        <v>1</v>
      </c>
      <c r="B2" s="2" t="s">
        <v>26</v>
      </c>
      <c r="C2" s="2" t="s">
        <v>27</v>
      </c>
    </row>
    <row r="3" spans="1:3" x14ac:dyDescent="0.35">
      <c r="A3" s="3" t="s">
        <v>4</v>
      </c>
      <c r="B3" s="11">
        <f>COUNT(West_Roofs!$I$2:$I$582)</f>
        <v>581</v>
      </c>
      <c r="C3" s="3" t="s">
        <v>28</v>
      </c>
    </row>
    <row r="4" spans="1:3" x14ac:dyDescent="0.35">
      <c r="A4" s="3" t="s">
        <v>5</v>
      </c>
      <c r="B4" s="12">
        <f>AVERAGE(West_Roofs!$G$2:$G$582)</f>
        <v>1334.3593972088861</v>
      </c>
      <c r="C4" s="3" t="s">
        <v>29</v>
      </c>
    </row>
    <row r="5" spans="1:3" x14ac:dyDescent="0.35">
      <c r="A5" s="3" t="s">
        <v>6</v>
      </c>
      <c r="B5" s="12">
        <f>AVERAGE(West_Roofs!$H$2:$H$582)</f>
        <v>1459.0237699971383</v>
      </c>
      <c r="C5" s="3"/>
    </row>
    <row r="6" spans="1:3" x14ac:dyDescent="0.35">
      <c r="A6" s="3" t="s">
        <v>7</v>
      </c>
      <c r="B6" s="12">
        <f>AVERAGE(West_Roofs!$I$2:$I$582)</f>
        <v>124.66437278825126</v>
      </c>
      <c r="C6" s="3" t="s">
        <v>30</v>
      </c>
    </row>
    <row r="7" spans="1:3" x14ac:dyDescent="0.35">
      <c r="A7" s="3" t="s">
        <v>8</v>
      </c>
      <c r="B7" s="12">
        <f>SUMPRODUCT(ABS(West_Roofs!$I$2:$I$582))/B3</f>
        <v>124.66437278825126</v>
      </c>
      <c r="C7" s="3" t="s">
        <v>31</v>
      </c>
    </row>
    <row r="8" spans="1:3" x14ac:dyDescent="0.35">
      <c r="A8" s="3" t="s">
        <v>9</v>
      </c>
      <c r="B8" s="12">
        <f>SQRT(SUMSQ(West_Roofs!$I$2:$I$582)/B3)</f>
        <v>130.92887357483306</v>
      </c>
      <c r="C8" s="3"/>
    </row>
    <row r="9" spans="1:3" x14ac:dyDescent="0.35">
      <c r="A9" s="3" t="s">
        <v>10</v>
      </c>
      <c r="B9" s="13">
        <f>B6/B4</f>
        <v>9.342638351332852E-2</v>
      </c>
      <c r="C9" s="3"/>
    </row>
    <row r="10" spans="1:3" x14ac:dyDescent="0.35">
      <c r="A10" s="3" t="s">
        <v>11</v>
      </c>
      <c r="B10" s="13">
        <f>B8/B4</f>
        <v>9.8121146258422096E-2</v>
      </c>
      <c r="C10" s="3"/>
    </row>
    <row r="11" spans="1:3" x14ac:dyDescent="0.35">
      <c r="A11" s="3" t="s">
        <v>12</v>
      </c>
      <c r="B11" s="13">
        <f>MEDIAN(West_Roofs!$J$2:$J$582)</f>
        <v>8.7360728341788249E-2</v>
      </c>
      <c r="C11" s="3"/>
    </row>
    <row r="12" spans="1:3" x14ac:dyDescent="0.35">
      <c r="A12" s="3" t="s">
        <v>13</v>
      </c>
      <c r="B12" s="14">
        <f>CORREL(West_Roofs!$G$2:$G$582,West_Roofs!$H$2:$H$582)</f>
        <v>0.95579174749897544</v>
      </c>
      <c r="C12" s="3"/>
    </row>
    <row r="13" spans="1:3" x14ac:dyDescent="0.35">
      <c r="A13" s="3" t="s">
        <v>14</v>
      </c>
      <c r="B13" s="14">
        <f>RSQ(West_Roofs!$H$2:$H$582,West_Roofs!$G$2:$G$582)</f>
        <v>0.91353786458714503</v>
      </c>
      <c r="C13" s="3"/>
    </row>
    <row r="14" spans="1:3" x14ac:dyDescent="0.35">
      <c r="A14" s="3" t="s">
        <v>15</v>
      </c>
      <c r="B14" s="14">
        <f>SLOPE(West_Roofs!$H$2:$H$582,West_Roofs!$G$2:$G$582)</f>
        <v>0.87174707845054367</v>
      </c>
      <c r="C14" s="3" t="s">
        <v>32</v>
      </c>
    </row>
    <row r="15" spans="1:3" x14ac:dyDescent="0.35">
      <c r="A15" s="3" t="s">
        <v>16</v>
      </c>
      <c r="B15" s="12">
        <f>INTERCEPT(West_Roofs!$H$2:$H$582,West_Roofs!$G$2:$G$582)</f>
        <v>295.79986387726331</v>
      </c>
      <c r="C15" s="3" t="s">
        <v>33</v>
      </c>
    </row>
    <row r="16" spans="1:3" x14ac:dyDescent="0.35">
      <c r="A16" s="3" t="s">
        <v>17</v>
      </c>
      <c r="B16" s="11">
        <f>COUNTIF(West_Roofs!$I$2:$I$582,"&gt;0")</f>
        <v>581</v>
      </c>
      <c r="C16" s="3"/>
    </row>
    <row r="17" spans="1:3" x14ac:dyDescent="0.35">
      <c r="A17" s="3" t="s">
        <v>18</v>
      </c>
      <c r="B17" s="15">
        <v>0.94899999999999995</v>
      </c>
      <c r="C17" s="3" t="s">
        <v>34</v>
      </c>
    </row>
    <row r="18" spans="1:3" x14ac:dyDescent="0.35">
      <c r="A18" s="3" t="s">
        <v>19</v>
      </c>
      <c r="B18" s="16">
        <v>7.5487341262835396E-97</v>
      </c>
      <c r="C18" s="3" t="s">
        <v>35</v>
      </c>
    </row>
    <row r="20" spans="1:3" x14ac:dyDescent="0.35">
      <c r="A20" s="9" t="s">
        <v>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82"/>
  <sheetViews>
    <sheetView zoomScaleNormal="100" workbookViewId="0">
      <pane ySplit="1" topLeftCell="A2" activePane="bottomLeft" state="frozen"/>
      <selection pane="bottomLeft"/>
    </sheetView>
  </sheetViews>
  <sheetFormatPr defaultColWidth="8.6328125" defaultRowHeight="14.5" x14ac:dyDescent="0.35"/>
  <cols>
    <col min="1" max="1" width="10" customWidth="1"/>
    <col min="2" max="2" width="11" customWidth="1"/>
    <col min="3" max="4" width="13" customWidth="1"/>
    <col min="5" max="8" width="14" customWidth="1"/>
    <col min="9" max="9" width="18" customWidth="1"/>
    <col min="10" max="10" width="14" customWidth="1"/>
  </cols>
  <sheetData>
    <row r="1" spans="1:10" ht="57.75" customHeight="1" x14ac:dyDescent="0.35">
      <c r="A1" s="17" t="s">
        <v>37</v>
      </c>
      <c r="B1" s="17" t="s">
        <v>38</v>
      </c>
      <c r="C1" s="17" t="s">
        <v>39</v>
      </c>
      <c r="D1" s="17" t="s">
        <v>40</v>
      </c>
      <c r="E1" s="17" t="s">
        <v>41</v>
      </c>
      <c r="F1" s="17" t="s">
        <v>42</v>
      </c>
      <c r="G1" s="17" t="s">
        <v>43</v>
      </c>
      <c r="H1" s="17" t="s">
        <v>44</v>
      </c>
      <c r="I1" s="17" t="s">
        <v>45</v>
      </c>
      <c r="J1" s="17" t="s">
        <v>46</v>
      </c>
    </row>
    <row r="2" spans="1:10" x14ac:dyDescent="0.35">
      <c r="A2" s="3">
        <v>39202</v>
      </c>
      <c r="B2" s="3">
        <v>463734</v>
      </c>
      <c r="C2" s="18">
        <v>190</v>
      </c>
      <c r="D2" s="18">
        <v>190</v>
      </c>
      <c r="E2" s="19">
        <v>293.96028779682399</v>
      </c>
      <c r="F2" s="19">
        <v>332.27441679302001</v>
      </c>
      <c r="G2" s="12">
        <f>E2/Combined_Summary!$B$23</f>
        <v>1175.841151187296</v>
      </c>
      <c r="H2" s="12">
        <f>F2/Combined_Summary!$B$23</f>
        <v>1329.09766717208</v>
      </c>
      <c r="I2" s="12">
        <f t="shared" ref="I2:I65" si="0">H2-G2</f>
        <v>153.25651598478407</v>
      </c>
      <c r="J2" s="13">
        <f t="shared" ref="J2:J65" si="1">IF(G2=0,"",I2/G2)</f>
        <v>0.1303377720962007</v>
      </c>
    </row>
    <row r="3" spans="1:10" x14ac:dyDescent="0.35">
      <c r="A3" s="3">
        <v>39212</v>
      </c>
      <c r="B3" s="3">
        <v>187531</v>
      </c>
      <c r="C3" s="18">
        <v>371</v>
      </c>
      <c r="D3" s="18">
        <v>371</v>
      </c>
      <c r="E3" s="19">
        <v>348.34968293387902</v>
      </c>
      <c r="F3" s="19">
        <v>376.42209417543597</v>
      </c>
      <c r="G3" s="12">
        <f>E3/Combined_Summary!$B$23</f>
        <v>1393.3987317355161</v>
      </c>
      <c r="H3" s="12">
        <f>F3/Combined_Summary!$B$23</f>
        <v>1505.6883767017439</v>
      </c>
      <c r="I3" s="12">
        <f t="shared" si="0"/>
        <v>112.2896449662278</v>
      </c>
      <c r="J3" s="13">
        <f t="shared" si="1"/>
        <v>8.0586871804001134E-2</v>
      </c>
    </row>
    <row r="4" spans="1:10" x14ac:dyDescent="0.35">
      <c r="A4" s="3">
        <v>39213</v>
      </c>
      <c r="B4" s="3">
        <v>187549</v>
      </c>
      <c r="C4" s="18">
        <v>410</v>
      </c>
      <c r="D4" s="18">
        <v>410</v>
      </c>
      <c r="E4" s="19">
        <v>347.67966126232602</v>
      </c>
      <c r="F4" s="19">
        <v>381.70286442826398</v>
      </c>
      <c r="G4" s="12">
        <f>E4/Combined_Summary!$B$23</f>
        <v>1390.7186450493041</v>
      </c>
      <c r="H4" s="12">
        <f>F4/Combined_Summary!$B$23</f>
        <v>1526.8114577130559</v>
      </c>
      <c r="I4" s="12">
        <f t="shared" si="0"/>
        <v>136.09281266375183</v>
      </c>
      <c r="J4" s="13">
        <f t="shared" si="1"/>
        <v>9.7857904723012493E-2</v>
      </c>
    </row>
    <row r="5" spans="1:10" x14ac:dyDescent="0.35">
      <c r="A5" s="3">
        <v>39214</v>
      </c>
      <c r="B5" s="3">
        <v>187550</v>
      </c>
      <c r="C5" s="18">
        <v>383</v>
      </c>
      <c r="D5" s="18">
        <v>383</v>
      </c>
      <c r="E5" s="19">
        <v>340.457715544937</v>
      </c>
      <c r="F5" s="19">
        <v>370.49945630105901</v>
      </c>
      <c r="G5" s="12">
        <f>E5/Combined_Summary!$B$23</f>
        <v>1361.830862179748</v>
      </c>
      <c r="H5" s="12">
        <f>F5/Combined_Summary!$B$23</f>
        <v>1481.9978252042361</v>
      </c>
      <c r="I5" s="12">
        <f t="shared" si="0"/>
        <v>120.16696302448804</v>
      </c>
      <c r="J5" s="13">
        <f t="shared" si="1"/>
        <v>8.8239271382166112E-2</v>
      </c>
    </row>
    <row r="6" spans="1:10" x14ac:dyDescent="0.35">
      <c r="A6" s="3">
        <v>39215</v>
      </c>
      <c r="B6" s="3">
        <v>187601</v>
      </c>
      <c r="C6" s="18">
        <v>537</v>
      </c>
      <c r="D6" s="18">
        <v>537</v>
      </c>
      <c r="E6" s="19">
        <v>338.33520900648199</v>
      </c>
      <c r="F6" s="19">
        <v>367.54864761949301</v>
      </c>
      <c r="G6" s="12">
        <f>E6/Combined_Summary!$B$23</f>
        <v>1353.340836025928</v>
      </c>
      <c r="H6" s="12">
        <f>F6/Combined_Summary!$B$23</f>
        <v>1470.194590477972</v>
      </c>
      <c r="I6" s="12">
        <f t="shared" si="0"/>
        <v>116.85375445204409</v>
      </c>
      <c r="J6" s="13">
        <f t="shared" si="1"/>
        <v>8.6344660074829327E-2</v>
      </c>
    </row>
    <row r="7" spans="1:10" x14ac:dyDescent="0.35">
      <c r="A7" s="3">
        <v>39216</v>
      </c>
      <c r="B7" s="3">
        <v>187652</v>
      </c>
      <c r="C7" s="18">
        <v>620</v>
      </c>
      <c r="D7" s="18">
        <v>620</v>
      </c>
      <c r="E7" s="19">
        <v>325.15072279284101</v>
      </c>
      <c r="F7" s="19">
        <v>364.20616466153098</v>
      </c>
      <c r="G7" s="12">
        <f>E7/Combined_Summary!$B$23</f>
        <v>1300.602891171364</v>
      </c>
      <c r="H7" s="12">
        <f>F7/Combined_Summary!$B$23</f>
        <v>1456.8246586461239</v>
      </c>
      <c r="I7" s="12">
        <f t="shared" si="0"/>
        <v>156.22176747475987</v>
      </c>
      <c r="J7" s="13">
        <f t="shared" si="1"/>
        <v>0.12011488559283581</v>
      </c>
    </row>
    <row r="8" spans="1:10" x14ac:dyDescent="0.35">
      <c r="A8" s="3">
        <v>39217</v>
      </c>
      <c r="B8" s="3">
        <v>182452</v>
      </c>
      <c r="C8" s="18">
        <v>624</v>
      </c>
      <c r="D8" s="18">
        <v>624</v>
      </c>
      <c r="E8" s="19">
        <v>332.59453445214501</v>
      </c>
      <c r="F8" s="19">
        <v>361.94550351607501</v>
      </c>
      <c r="G8" s="12">
        <f>E8/Combined_Summary!$B$23</f>
        <v>1330.37813780858</v>
      </c>
      <c r="H8" s="12">
        <f>F8/Combined_Summary!$B$23</f>
        <v>1447.7820140643</v>
      </c>
      <c r="I8" s="12">
        <f t="shared" si="0"/>
        <v>117.40387625571998</v>
      </c>
      <c r="J8" s="13">
        <f t="shared" si="1"/>
        <v>8.8248500872924379E-2</v>
      </c>
    </row>
    <row r="9" spans="1:10" x14ac:dyDescent="0.35">
      <c r="A9" s="3">
        <v>39228</v>
      </c>
      <c r="B9" s="3">
        <v>187584</v>
      </c>
      <c r="C9" s="18">
        <v>367</v>
      </c>
      <c r="D9" s="18">
        <v>367</v>
      </c>
      <c r="E9" s="19">
        <v>311.68506495504403</v>
      </c>
      <c r="F9" s="19">
        <v>352.08513235980899</v>
      </c>
      <c r="G9" s="12">
        <f>E9/Combined_Summary!$B$23</f>
        <v>1246.7402598201761</v>
      </c>
      <c r="H9" s="12">
        <f>F9/Combined_Summary!$B$23</f>
        <v>1408.340529439236</v>
      </c>
      <c r="I9" s="12">
        <f t="shared" si="0"/>
        <v>161.60026961905987</v>
      </c>
      <c r="J9" s="13">
        <f t="shared" si="1"/>
        <v>0.12961823310524065</v>
      </c>
    </row>
    <row r="10" spans="1:10" x14ac:dyDescent="0.35">
      <c r="A10" s="3">
        <v>39243</v>
      </c>
      <c r="B10" s="3">
        <v>643816</v>
      </c>
      <c r="C10" s="18">
        <v>16</v>
      </c>
      <c r="D10" s="18">
        <v>16</v>
      </c>
      <c r="E10" s="19">
        <v>414.89710617065401</v>
      </c>
      <c r="F10" s="19">
        <v>481.26322555541998</v>
      </c>
      <c r="G10" s="12">
        <f>E10/Combined_Summary!$B$23</f>
        <v>1659.5884246826161</v>
      </c>
      <c r="H10" s="12">
        <f>F10/Combined_Summary!$B$23</f>
        <v>1925.0529022216799</v>
      </c>
      <c r="I10" s="12">
        <f t="shared" si="0"/>
        <v>265.46447753906386</v>
      </c>
      <c r="J10" s="13">
        <f t="shared" si="1"/>
        <v>0.15995801946487545</v>
      </c>
    </row>
    <row r="11" spans="1:10" x14ac:dyDescent="0.35">
      <c r="A11" s="3">
        <v>39244</v>
      </c>
      <c r="B11" s="3">
        <v>182281</v>
      </c>
      <c r="C11" s="18">
        <v>622</v>
      </c>
      <c r="D11" s="18">
        <v>622</v>
      </c>
      <c r="E11" s="19">
        <v>351.37138283291102</v>
      </c>
      <c r="F11" s="19">
        <v>377.22365733204902</v>
      </c>
      <c r="G11" s="12">
        <f>E11/Combined_Summary!$B$23</f>
        <v>1405.4855313316441</v>
      </c>
      <c r="H11" s="12">
        <f>F11/Combined_Summary!$B$23</f>
        <v>1508.8946293281961</v>
      </c>
      <c r="I11" s="12">
        <f t="shared" si="0"/>
        <v>103.40909799655196</v>
      </c>
      <c r="J11" s="13">
        <f t="shared" si="1"/>
        <v>7.3575355769458381E-2</v>
      </c>
    </row>
    <row r="12" spans="1:10" x14ac:dyDescent="0.35">
      <c r="A12" s="3">
        <v>39245</v>
      </c>
      <c r="B12" s="3">
        <v>643817</v>
      </c>
      <c r="C12" s="18">
        <v>16</v>
      </c>
      <c r="D12" s="18">
        <v>16</v>
      </c>
      <c r="E12" s="19">
        <v>385.70201492309599</v>
      </c>
      <c r="F12" s="19">
        <v>460.285579681397</v>
      </c>
      <c r="G12" s="12">
        <f>E12/Combined_Summary!$B$23</f>
        <v>1542.8080596923839</v>
      </c>
      <c r="H12" s="12">
        <f>F12/Combined_Summary!$B$23</f>
        <v>1841.142318725588</v>
      </c>
      <c r="I12" s="12">
        <f t="shared" si="0"/>
        <v>298.33425903320403</v>
      </c>
      <c r="J12" s="13">
        <f t="shared" si="1"/>
        <v>0.19337094926292259</v>
      </c>
    </row>
    <row r="13" spans="1:10" x14ac:dyDescent="0.35">
      <c r="A13" s="3">
        <v>39246</v>
      </c>
      <c r="B13" s="3">
        <v>187571</v>
      </c>
      <c r="C13" s="18">
        <v>358</v>
      </c>
      <c r="D13" s="18">
        <v>358</v>
      </c>
      <c r="E13" s="19">
        <v>295.57122344544501</v>
      </c>
      <c r="F13" s="19">
        <v>339.42217742664201</v>
      </c>
      <c r="G13" s="12">
        <f>E13/Combined_Summary!$B$23</f>
        <v>1182.2848937817801</v>
      </c>
      <c r="H13" s="12">
        <f>F13/Combined_Summary!$B$23</f>
        <v>1357.688709706568</v>
      </c>
      <c r="I13" s="12">
        <f t="shared" si="0"/>
        <v>175.40381592478798</v>
      </c>
      <c r="J13" s="13">
        <f t="shared" si="1"/>
        <v>0.14836002459925118</v>
      </c>
    </row>
    <row r="14" spans="1:10" x14ac:dyDescent="0.35">
      <c r="A14" s="3">
        <v>39247</v>
      </c>
      <c r="B14" s="3">
        <v>187582</v>
      </c>
      <c r="C14" s="18">
        <v>570</v>
      </c>
      <c r="D14" s="18">
        <v>570</v>
      </c>
      <c r="E14" s="19">
        <v>345.31225884420797</v>
      </c>
      <c r="F14" s="19">
        <v>375.14605662027998</v>
      </c>
      <c r="G14" s="12">
        <f>E14/Combined_Summary!$B$23</f>
        <v>1381.2490353768319</v>
      </c>
      <c r="H14" s="12">
        <f>F14/Combined_Summary!$B$23</f>
        <v>1500.5842264811199</v>
      </c>
      <c r="I14" s="12">
        <f t="shared" si="0"/>
        <v>119.33519110428801</v>
      </c>
      <c r="J14" s="13">
        <f t="shared" si="1"/>
        <v>8.6396578783297415E-2</v>
      </c>
    </row>
    <row r="15" spans="1:10" x14ac:dyDescent="0.35">
      <c r="A15" s="3">
        <v>39248</v>
      </c>
      <c r="B15" s="3">
        <v>187642</v>
      </c>
      <c r="C15" s="18">
        <v>358</v>
      </c>
      <c r="D15" s="18">
        <v>358</v>
      </c>
      <c r="E15" s="19">
        <v>312.708291741057</v>
      </c>
      <c r="F15" s="19">
        <v>345.542641922082</v>
      </c>
      <c r="G15" s="12">
        <f>E15/Combined_Summary!$B$23</f>
        <v>1250.833166964228</v>
      </c>
      <c r="H15" s="12">
        <f>F15/Combined_Summary!$B$23</f>
        <v>1382.170567688328</v>
      </c>
      <c r="I15" s="12">
        <f t="shared" si="0"/>
        <v>131.33740072410001</v>
      </c>
      <c r="J15" s="13">
        <f t="shared" si="1"/>
        <v>0.10499993459787757</v>
      </c>
    </row>
    <row r="16" spans="1:10" x14ac:dyDescent="0.35">
      <c r="A16" s="3">
        <v>39281</v>
      </c>
      <c r="B16" s="3">
        <v>182278</v>
      </c>
      <c r="C16" s="18">
        <v>568</v>
      </c>
      <c r="D16" s="18">
        <v>568</v>
      </c>
      <c r="E16" s="19">
        <v>368.57947804894297</v>
      </c>
      <c r="F16" s="19">
        <v>396.45306991523398</v>
      </c>
      <c r="G16" s="12">
        <f>E16/Combined_Summary!$B$23</f>
        <v>1474.3179121957719</v>
      </c>
      <c r="H16" s="12">
        <f>F16/Combined_Summary!$B$23</f>
        <v>1585.8122796609359</v>
      </c>
      <c r="I16" s="12">
        <f t="shared" si="0"/>
        <v>111.49436746516403</v>
      </c>
      <c r="J16" s="13">
        <f t="shared" si="1"/>
        <v>7.5624372832254455E-2</v>
      </c>
    </row>
    <row r="17" spans="1:10" x14ac:dyDescent="0.35">
      <c r="A17" s="3">
        <v>39282</v>
      </c>
      <c r="B17" s="3">
        <v>187434</v>
      </c>
      <c r="C17" s="18">
        <v>633</v>
      </c>
      <c r="D17" s="18">
        <v>633</v>
      </c>
      <c r="E17" s="19">
        <v>298.47001100151499</v>
      </c>
      <c r="F17" s="19">
        <v>333.19299393543901</v>
      </c>
      <c r="G17" s="12">
        <f>E17/Combined_Summary!$B$23</f>
        <v>1193.88004400606</v>
      </c>
      <c r="H17" s="12">
        <f>F17/Combined_Summary!$B$23</f>
        <v>1332.771975741756</v>
      </c>
      <c r="I17" s="12">
        <f t="shared" si="0"/>
        <v>138.89193173569606</v>
      </c>
      <c r="J17" s="13">
        <f t="shared" si="1"/>
        <v>0.11633658878294398</v>
      </c>
    </row>
    <row r="18" spans="1:10" x14ac:dyDescent="0.35">
      <c r="A18" s="3">
        <v>39283</v>
      </c>
      <c r="B18" s="3">
        <v>187578</v>
      </c>
      <c r="C18" s="18">
        <v>517</v>
      </c>
      <c r="D18" s="18">
        <v>517</v>
      </c>
      <c r="E18" s="19">
        <v>350.22605398683498</v>
      </c>
      <c r="F18" s="19">
        <v>385.03351768626499</v>
      </c>
      <c r="G18" s="12">
        <f>E18/Combined_Summary!$B$23</f>
        <v>1400.9042159473399</v>
      </c>
      <c r="H18" s="12">
        <f>F18/Combined_Summary!$B$23</f>
        <v>1540.1340707450599</v>
      </c>
      <c r="I18" s="12">
        <f t="shared" si="0"/>
        <v>139.22985479772001</v>
      </c>
      <c r="J18" s="13">
        <f t="shared" si="1"/>
        <v>9.9385706183750727E-2</v>
      </c>
    </row>
    <row r="19" spans="1:10" x14ac:dyDescent="0.35">
      <c r="A19" s="3">
        <v>39284</v>
      </c>
      <c r="B19" s="3">
        <v>187650</v>
      </c>
      <c r="C19" s="18">
        <v>377</v>
      </c>
      <c r="D19" s="18">
        <v>377</v>
      </c>
      <c r="E19" s="19">
        <v>259.31732019884799</v>
      </c>
      <c r="F19" s="19">
        <v>316.42929678190899</v>
      </c>
      <c r="G19" s="12">
        <f>E19/Combined_Summary!$B$23</f>
        <v>1037.269280795392</v>
      </c>
      <c r="H19" s="12">
        <f>F19/Combined_Summary!$B$23</f>
        <v>1265.717187127636</v>
      </c>
      <c r="I19" s="12">
        <f t="shared" si="0"/>
        <v>228.44790633224397</v>
      </c>
      <c r="J19" s="13">
        <f t="shared" si="1"/>
        <v>0.22023972999283953</v>
      </c>
    </row>
    <row r="20" spans="1:10" x14ac:dyDescent="0.35">
      <c r="A20" s="3">
        <v>39297</v>
      </c>
      <c r="B20" s="3">
        <v>463280</v>
      </c>
      <c r="C20" s="18">
        <v>189</v>
      </c>
      <c r="D20" s="18">
        <v>189</v>
      </c>
      <c r="E20" s="19">
        <v>346.826431839554</v>
      </c>
      <c r="F20" s="19">
        <v>371.10249691917801</v>
      </c>
      <c r="G20" s="12">
        <f>E20/Combined_Summary!$B$23</f>
        <v>1387.305727358216</v>
      </c>
      <c r="H20" s="12">
        <f>F20/Combined_Summary!$B$23</f>
        <v>1484.409987676712</v>
      </c>
      <c r="I20" s="12">
        <f t="shared" si="0"/>
        <v>97.104260318496017</v>
      </c>
      <c r="J20" s="13">
        <f t="shared" si="1"/>
        <v>6.9994852903409621E-2</v>
      </c>
    </row>
    <row r="21" spans="1:10" x14ac:dyDescent="0.35">
      <c r="A21" s="3">
        <v>39310</v>
      </c>
      <c r="B21" s="3">
        <v>182295</v>
      </c>
      <c r="C21" s="18">
        <v>642</v>
      </c>
      <c r="D21" s="18">
        <v>642</v>
      </c>
      <c r="E21" s="19">
        <v>375.29485399478</v>
      </c>
      <c r="F21" s="19">
        <v>395.92969253872798</v>
      </c>
      <c r="G21" s="12">
        <f>E21/Combined_Summary!$B$23</f>
        <v>1501.17941597912</v>
      </c>
      <c r="H21" s="12">
        <f>F21/Combined_Summary!$B$23</f>
        <v>1583.7187701549119</v>
      </c>
      <c r="I21" s="12">
        <f t="shared" si="0"/>
        <v>82.539354175791914</v>
      </c>
      <c r="J21" s="13">
        <f t="shared" si="1"/>
        <v>5.4983004228016913E-2</v>
      </c>
    </row>
    <row r="22" spans="1:10" x14ac:dyDescent="0.35">
      <c r="A22" s="3">
        <v>39311</v>
      </c>
      <c r="B22" s="3">
        <v>193870</v>
      </c>
      <c r="C22" s="18">
        <v>438</v>
      </c>
      <c r="D22" s="18">
        <v>438</v>
      </c>
      <c r="E22" s="19">
        <v>246.68469358470301</v>
      </c>
      <c r="F22" s="19">
        <v>289.16164595024799</v>
      </c>
      <c r="G22" s="12">
        <f>E22/Combined_Summary!$B$23</f>
        <v>986.73877433881205</v>
      </c>
      <c r="H22" s="12">
        <f>F22/Combined_Summary!$B$23</f>
        <v>1156.6465838009919</v>
      </c>
      <c r="I22" s="12">
        <f t="shared" si="0"/>
        <v>169.9078094621799</v>
      </c>
      <c r="J22" s="13">
        <f t="shared" si="1"/>
        <v>0.17219127684125993</v>
      </c>
    </row>
    <row r="23" spans="1:10" x14ac:dyDescent="0.35">
      <c r="A23" s="3">
        <v>39312</v>
      </c>
      <c r="B23" s="3">
        <v>638460</v>
      </c>
      <c r="C23" s="18">
        <v>16</v>
      </c>
      <c r="D23" s="18">
        <v>16</v>
      </c>
      <c r="E23" s="19">
        <v>242.958381652832</v>
      </c>
      <c r="F23" s="19">
        <v>289.72656631469698</v>
      </c>
      <c r="G23" s="12">
        <f>E23/Combined_Summary!$B$23</f>
        <v>971.83352661132801</v>
      </c>
      <c r="H23" s="12">
        <f>F23/Combined_Summary!$B$23</f>
        <v>1158.9062652587879</v>
      </c>
      <c r="I23" s="12">
        <f t="shared" si="0"/>
        <v>187.07273864745991</v>
      </c>
      <c r="J23" s="13">
        <f t="shared" si="1"/>
        <v>0.19249463362286037</v>
      </c>
    </row>
    <row r="24" spans="1:10" x14ac:dyDescent="0.35">
      <c r="A24" s="3">
        <v>39331</v>
      </c>
      <c r="B24" s="3">
        <v>188681</v>
      </c>
      <c r="C24" s="18">
        <v>688</v>
      </c>
      <c r="D24" s="18">
        <v>688</v>
      </c>
      <c r="E24" s="19">
        <v>350.063864996267</v>
      </c>
      <c r="F24" s="19">
        <v>378.80811098010003</v>
      </c>
      <c r="G24" s="12">
        <f>E24/Combined_Summary!$B$23</f>
        <v>1400.255459985068</v>
      </c>
      <c r="H24" s="12">
        <f>F24/Combined_Summary!$B$23</f>
        <v>1515.2324439204001</v>
      </c>
      <c r="I24" s="12">
        <f t="shared" si="0"/>
        <v>114.9769839353321</v>
      </c>
      <c r="J24" s="13">
        <f t="shared" si="1"/>
        <v>8.2111434106858033E-2</v>
      </c>
    </row>
    <row r="25" spans="1:10" x14ac:dyDescent="0.35">
      <c r="A25" s="3">
        <v>39332</v>
      </c>
      <c r="B25" s="3">
        <v>635070</v>
      </c>
      <c r="C25" s="18">
        <v>16</v>
      </c>
      <c r="D25" s="18">
        <v>16</v>
      </c>
      <c r="E25" s="19">
        <v>306.97025871276901</v>
      </c>
      <c r="F25" s="19">
        <v>337.77711105346702</v>
      </c>
      <c r="G25" s="12">
        <f>E25/Combined_Summary!$B$23</f>
        <v>1227.881034851076</v>
      </c>
      <c r="H25" s="12">
        <f>F25/Combined_Summary!$B$23</f>
        <v>1351.1084442138681</v>
      </c>
      <c r="I25" s="12">
        <f t="shared" si="0"/>
        <v>123.22740936279206</v>
      </c>
      <c r="J25" s="13">
        <f t="shared" si="1"/>
        <v>0.10035777560302309</v>
      </c>
    </row>
    <row r="26" spans="1:10" x14ac:dyDescent="0.35">
      <c r="A26" s="3">
        <v>39351</v>
      </c>
      <c r="B26" s="3">
        <v>188680</v>
      </c>
      <c r="C26" s="18">
        <v>615</v>
      </c>
      <c r="D26" s="18">
        <v>615</v>
      </c>
      <c r="E26" s="19">
        <v>347.254947420446</v>
      </c>
      <c r="F26" s="19">
        <v>376.46375849033802</v>
      </c>
      <c r="G26" s="12">
        <f>E26/Combined_Summary!$B$23</f>
        <v>1389.019789681784</v>
      </c>
      <c r="H26" s="12">
        <f>F26/Combined_Summary!$B$23</f>
        <v>1505.8550339613521</v>
      </c>
      <c r="I26" s="12">
        <f t="shared" si="0"/>
        <v>116.83524427956809</v>
      </c>
      <c r="J26" s="13">
        <f t="shared" si="1"/>
        <v>8.4113448308993741E-2</v>
      </c>
    </row>
    <row r="27" spans="1:10" x14ac:dyDescent="0.35">
      <c r="A27" s="3">
        <v>39352</v>
      </c>
      <c r="B27" s="3">
        <v>188682</v>
      </c>
      <c r="C27" s="18">
        <v>383</v>
      </c>
      <c r="D27" s="18">
        <v>383</v>
      </c>
      <c r="E27" s="19">
        <v>361.22375139679701</v>
      </c>
      <c r="F27" s="19">
        <v>398.2500486847</v>
      </c>
      <c r="G27" s="12">
        <f>E27/Combined_Summary!$B$23</f>
        <v>1444.8950055871881</v>
      </c>
      <c r="H27" s="12">
        <f>F27/Combined_Summary!$B$23</f>
        <v>1593.0001947388</v>
      </c>
      <c r="I27" s="12">
        <f t="shared" si="0"/>
        <v>148.10518915161197</v>
      </c>
      <c r="J27" s="13">
        <f t="shared" si="1"/>
        <v>0.10250238846346056</v>
      </c>
    </row>
    <row r="28" spans="1:10" x14ac:dyDescent="0.35">
      <c r="A28" s="3">
        <v>39353</v>
      </c>
      <c r="B28" s="3">
        <v>188676</v>
      </c>
      <c r="C28" s="18">
        <v>438</v>
      </c>
      <c r="D28" s="18">
        <v>438</v>
      </c>
      <c r="E28" s="19">
        <v>334.24407324072399</v>
      </c>
      <c r="F28" s="19">
        <v>364.89673523924699</v>
      </c>
      <c r="G28" s="12">
        <f>E28/Combined_Summary!$B$23</f>
        <v>1336.976292962896</v>
      </c>
      <c r="H28" s="12">
        <f>F28/Combined_Summary!$B$23</f>
        <v>1459.586940956988</v>
      </c>
      <c r="I28" s="12">
        <f t="shared" si="0"/>
        <v>122.61064799409201</v>
      </c>
      <c r="J28" s="13">
        <f t="shared" si="1"/>
        <v>9.1707421170776682E-2</v>
      </c>
    </row>
    <row r="29" spans="1:10" x14ac:dyDescent="0.35">
      <c r="A29" s="3">
        <v>39354</v>
      </c>
      <c r="B29" s="3">
        <v>187669</v>
      </c>
      <c r="C29" s="18">
        <v>749</v>
      </c>
      <c r="D29" s="18">
        <v>749</v>
      </c>
      <c r="E29" s="19">
        <v>359.91611037617201</v>
      </c>
      <c r="F29" s="19">
        <v>391.57339400124698</v>
      </c>
      <c r="G29" s="12">
        <f>E29/Combined_Summary!$B$23</f>
        <v>1439.6644415046881</v>
      </c>
      <c r="H29" s="12">
        <f>F29/Combined_Summary!$B$23</f>
        <v>1566.2935760049879</v>
      </c>
      <c r="I29" s="12">
        <f t="shared" si="0"/>
        <v>126.62913450029987</v>
      </c>
      <c r="J29" s="13">
        <f t="shared" si="1"/>
        <v>8.7957395383018167E-2</v>
      </c>
    </row>
    <row r="30" spans="1:10" x14ac:dyDescent="0.35">
      <c r="A30" s="3">
        <v>39374</v>
      </c>
      <c r="B30" s="3">
        <v>565550</v>
      </c>
      <c r="C30" s="18">
        <v>16</v>
      </c>
      <c r="D30" s="18">
        <v>16</v>
      </c>
      <c r="E30" s="19">
        <v>303.01365661621099</v>
      </c>
      <c r="F30" s="19">
        <v>322.82250213623098</v>
      </c>
      <c r="G30" s="12">
        <f>E30/Combined_Summary!$B$23</f>
        <v>1212.054626464844</v>
      </c>
      <c r="H30" s="12">
        <f>F30/Combined_Summary!$B$23</f>
        <v>1291.2900085449239</v>
      </c>
      <c r="I30" s="12">
        <f t="shared" si="0"/>
        <v>79.235382080079944</v>
      </c>
      <c r="J30" s="13">
        <f t="shared" si="1"/>
        <v>6.5372781349948658E-2</v>
      </c>
    </row>
    <row r="31" spans="1:10" x14ac:dyDescent="0.35">
      <c r="A31" s="3">
        <v>39375</v>
      </c>
      <c r="B31" s="3">
        <v>188673</v>
      </c>
      <c r="C31" s="18">
        <v>532</v>
      </c>
      <c r="D31" s="18">
        <v>532</v>
      </c>
      <c r="E31" s="19">
        <v>348.04710541631903</v>
      </c>
      <c r="F31" s="19">
        <v>374.76449410001101</v>
      </c>
      <c r="G31" s="12">
        <f>E31/Combined_Summary!$B$23</f>
        <v>1392.1884216652761</v>
      </c>
      <c r="H31" s="12">
        <f>F31/Combined_Summary!$B$23</f>
        <v>1499.057976400044</v>
      </c>
      <c r="I31" s="12">
        <f t="shared" si="0"/>
        <v>106.86955473476792</v>
      </c>
      <c r="J31" s="13">
        <f t="shared" si="1"/>
        <v>7.6763714646423467E-2</v>
      </c>
    </row>
    <row r="32" spans="1:10" x14ac:dyDescent="0.35">
      <c r="A32" s="3">
        <v>39388</v>
      </c>
      <c r="B32" s="3">
        <v>180947</v>
      </c>
      <c r="C32" s="18">
        <v>623</v>
      </c>
      <c r="D32" s="18">
        <v>623</v>
      </c>
      <c r="E32" s="19">
        <v>346.53758069523701</v>
      </c>
      <c r="F32" s="19">
        <v>369.63939540612</v>
      </c>
      <c r="G32" s="12">
        <f>E32/Combined_Summary!$B$23</f>
        <v>1386.150322780948</v>
      </c>
      <c r="H32" s="12">
        <f>F32/Combined_Summary!$B$23</f>
        <v>1478.55758162448</v>
      </c>
      <c r="I32" s="12">
        <f t="shared" si="0"/>
        <v>92.407258843531963</v>
      </c>
      <c r="J32" s="13">
        <f t="shared" si="1"/>
        <v>6.6664673610680958E-2</v>
      </c>
    </row>
    <row r="33" spans="1:10" x14ac:dyDescent="0.35">
      <c r="A33" s="3">
        <v>39414</v>
      </c>
      <c r="B33" s="3">
        <v>187766</v>
      </c>
      <c r="C33" s="18">
        <v>416</v>
      </c>
      <c r="D33" s="18">
        <v>416</v>
      </c>
      <c r="E33" s="19">
        <v>357.28108615141701</v>
      </c>
      <c r="F33" s="19">
        <v>388.73096752166799</v>
      </c>
      <c r="G33" s="12">
        <f>E33/Combined_Summary!$B$23</f>
        <v>1429.1243446056681</v>
      </c>
      <c r="H33" s="12">
        <f>F33/Combined_Summary!$B$23</f>
        <v>1554.923870086672</v>
      </c>
      <c r="I33" s="12">
        <f t="shared" si="0"/>
        <v>125.79952548100391</v>
      </c>
      <c r="J33" s="13">
        <f t="shared" si="1"/>
        <v>8.8025598301395683E-2</v>
      </c>
    </row>
    <row r="34" spans="1:10" x14ac:dyDescent="0.35">
      <c r="A34" s="3">
        <v>39415</v>
      </c>
      <c r="B34" s="3">
        <v>187680</v>
      </c>
      <c r="C34" s="18">
        <v>654</v>
      </c>
      <c r="D34" s="18">
        <v>654</v>
      </c>
      <c r="E34" s="19">
        <v>326.37155455259699</v>
      </c>
      <c r="F34" s="19">
        <v>361.22151669376899</v>
      </c>
      <c r="G34" s="12">
        <f>E34/Combined_Summary!$B$23</f>
        <v>1305.486218210388</v>
      </c>
      <c r="H34" s="12">
        <f>F34/Combined_Summary!$B$23</f>
        <v>1444.886066775076</v>
      </c>
      <c r="I34" s="12">
        <f t="shared" si="0"/>
        <v>139.399848564688</v>
      </c>
      <c r="J34" s="13">
        <f t="shared" si="1"/>
        <v>0.10678002312102752</v>
      </c>
    </row>
    <row r="35" spans="1:10" x14ac:dyDescent="0.35">
      <c r="A35" s="3">
        <v>39426</v>
      </c>
      <c r="B35" s="3">
        <v>181018</v>
      </c>
      <c r="C35" s="18">
        <v>677</v>
      </c>
      <c r="D35" s="18">
        <v>677</v>
      </c>
      <c r="E35" s="19">
        <v>340.483919185937</v>
      </c>
      <c r="F35" s="19">
        <v>362.857441461245</v>
      </c>
      <c r="G35" s="12">
        <f>E35/Combined_Summary!$B$23</f>
        <v>1361.935676743748</v>
      </c>
      <c r="H35" s="12">
        <f>F35/Combined_Summary!$B$23</f>
        <v>1451.42976584498</v>
      </c>
      <c r="I35" s="12">
        <f t="shared" si="0"/>
        <v>89.494089101232021</v>
      </c>
      <c r="J35" s="13">
        <f t="shared" si="1"/>
        <v>6.5710951427018521E-2</v>
      </c>
    </row>
    <row r="36" spans="1:10" x14ac:dyDescent="0.35">
      <c r="A36" s="3">
        <v>39443</v>
      </c>
      <c r="B36" s="3">
        <v>182478</v>
      </c>
      <c r="C36" s="18">
        <v>643</v>
      </c>
      <c r="D36" s="18">
        <v>643</v>
      </c>
      <c r="E36" s="19">
        <v>311.08211994319498</v>
      </c>
      <c r="F36" s="19">
        <v>346.32618581674001</v>
      </c>
      <c r="G36" s="12">
        <f>E36/Combined_Summary!$B$23</f>
        <v>1244.3284797727799</v>
      </c>
      <c r="H36" s="12">
        <f>F36/Combined_Summary!$B$23</f>
        <v>1385.30474326696</v>
      </c>
      <c r="I36" s="12">
        <f t="shared" si="0"/>
        <v>140.9762634941801</v>
      </c>
      <c r="J36" s="13">
        <f t="shared" si="1"/>
        <v>0.11329505495198745</v>
      </c>
    </row>
    <row r="37" spans="1:10" x14ac:dyDescent="0.35">
      <c r="A37" s="3">
        <v>39444</v>
      </c>
      <c r="B37" s="3">
        <v>187779</v>
      </c>
      <c r="C37" s="18">
        <v>747</v>
      </c>
      <c r="D37" s="18">
        <v>747</v>
      </c>
      <c r="E37" s="19">
        <v>321.64582127133201</v>
      </c>
      <c r="F37" s="19">
        <v>353.36632940249001</v>
      </c>
      <c r="G37" s="12">
        <f>E37/Combined_Summary!$B$23</f>
        <v>1286.583285085328</v>
      </c>
      <c r="H37" s="12">
        <f>F37/Combined_Summary!$B$23</f>
        <v>1413.46531760996</v>
      </c>
      <c r="I37" s="12">
        <f t="shared" si="0"/>
        <v>126.882032524632</v>
      </c>
      <c r="J37" s="13">
        <f t="shared" si="1"/>
        <v>9.861936960903156E-2</v>
      </c>
    </row>
    <row r="38" spans="1:10" x14ac:dyDescent="0.35">
      <c r="A38" s="3">
        <v>39477</v>
      </c>
      <c r="B38" s="3">
        <v>182507</v>
      </c>
      <c r="C38" s="18">
        <v>812</v>
      </c>
      <c r="D38" s="18">
        <v>812</v>
      </c>
      <c r="E38" s="19">
        <v>352.22153082034902</v>
      </c>
      <c r="F38" s="19">
        <v>377.86605962743897</v>
      </c>
      <c r="G38" s="12">
        <f>E38/Combined_Summary!$B$23</f>
        <v>1408.8861232813961</v>
      </c>
      <c r="H38" s="12">
        <f>F38/Combined_Summary!$B$23</f>
        <v>1511.4642385097559</v>
      </c>
      <c r="I38" s="12">
        <f t="shared" si="0"/>
        <v>102.57811522835982</v>
      </c>
      <c r="J38" s="13">
        <f t="shared" si="1"/>
        <v>7.2807953413188631E-2</v>
      </c>
    </row>
    <row r="39" spans="1:10" x14ac:dyDescent="0.35">
      <c r="A39" s="3">
        <v>39478</v>
      </c>
      <c r="B39" s="3">
        <v>594073</v>
      </c>
      <c r="C39" s="18">
        <v>16</v>
      </c>
      <c r="D39" s="18">
        <v>16</v>
      </c>
      <c r="E39" s="19">
        <v>333.28250312805199</v>
      </c>
      <c r="F39" s="19">
        <v>348.10279273986799</v>
      </c>
      <c r="G39" s="12">
        <f>E39/Combined_Summary!$B$23</f>
        <v>1333.1300125122079</v>
      </c>
      <c r="H39" s="12">
        <f>F39/Combined_Summary!$B$23</f>
        <v>1392.411170959472</v>
      </c>
      <c r="I39" s="12">
        <f t="shared" si="0"/>
        <v>59.281158447264033</v>
      </c>
      <c r="J39" s="13">
        <f t="shared" si="1"/>
        <v>4.446764973474121E-2</v>
      </c>
    </row>
    <row r="40" spans="1:10" x14ac:dyDescent="0.35">
      <c r="A40" s="3">
        <v>39479</v>
      </c>
      <c r="B40" s="3">
        <v>638454</v>
      </c>
      <c r="C40" s="18">
        <v>16</v>
      </c>
      <c r="D40" s="18">
        <v>16</v>
      </c>
      <c r="E40" s="19">
        <v>334.99495697021501</v>
      </c>
      <c r="F40" s="19">
        <v>354.47726440429699</v>
      </c>
      <c r="G40" s="12">
        <f>E40/Combined_Summary!$B$23</f>
        <v>1339.9798278808601</v>
      </c>
      <c r="H40" s="12">
        <f>F40/Combined_Summary!$B$23</f>
        <v>1417.909057617188</v>
      </c>
      <c r="I40" s="12">
        <f t="shared" si="0"/>
        <v>77.929229736327898</v>
      </c>
      <c r="J40" s="13">
        <f t="shared" si="1"/>
        <v>5.8157017079556159E-2</v>
      </c>
    </row>
    <row r="41" spans="1:10" x14ac:dyDescent="0.35">
      <c r="A41" s="3">
        <v>39480</v>
      </c>
      <c r="B41" s="3">
        <v>187784</v>
      </c>
      <c r="C41" s="18">
        <v>476</v>
      </c>
      <c r="D41" s="18">
        <v>476</v>
      </c>
      <c r="E41" s="19">
        <v>386.26143540454501</v>
      </c>
      <c r="F41" s="19">
        <v>418.25269529198403</v>
      </c>
      <c r="G41" s="12">
        <f>E41/Combined_Summary!$B$23</f>
        <v>1545.04574161818</v>
      </c>
      <c r="H41" s="12">
        <f>F41/Combined_Summary!$B$23</f>
        <v>1673.0107811679361</v>
      </c>
      <c r="I41" s="12">
        <f t="shared" si="0"/>
        <v>127.96503954975606</v>
      </c>
      <c r="J41" s="13">
        <f t="shared" si="1"/>
        <v>8.282281624603155E-2</v>
      </c>
    </row>
    <row r="42" spans="1:10" x14ac:dyDescent="0.35">
      <c r="A42" s="3">
        <v>39499</v>
      </c>
      <c r="B42" s="3">
        <v>180990</v>
      </c>
      <c r="C42" s="18">
        <v>623</v>
      </c>
      <c r="D42" s="18">
        <v>623</v>
      </c>
      <c r="E42" s="19">
        <v>336.61033081740499</v>
      </c>
      <c r="F42" s="19">
        <v>361.11509266175199</v>
      </c>
      <c r="G42" s="12">
        <f>E42/Combined_Summary!$B$23</f>
        <v>1346.4413232696199</v>
      </c>
      <c r="H42" s="12">
        <f>F42/Combined_Summary!$B$23</f>
        <v>1444.4603706470079</v>
      </c>
      <c r="I42" s="12">
        <f t="shared" si="0"/>
        <v>98.019047377388006</v>
      </c>
      <c r="J42" s="13">
        <f t="shared" si="1"/>
        <v>7.2798603016256389E-2</v>
      </c>
    </row>
    <row r="43" spans="1:10" x14ac:dyDescent="0.35">
      <c r="A43" s="3">
        <v>39500</v>
      </c>
      <c r="B43" s="3">
        <v>182484</v>
      </c>
      <c r="C43" s="18">
        <v>814</v>
      </c>
      <c r="D43" s="18">
        <v>814</v>
      </c>
      <c r="E43" s="19">
        <v>341.79612172382201</v>
      </c>
      <c r="F43" s="19">
        <v>372.73495922041798</v>
      </c>
      <c r="G43" s="12">
        <f>E43/Combined_Summary!$B$23</f>
        <v>1367.184486895288</v>
      </c>
      <c r="H43" s="12">
        <f>F43/Combined_Summary!$B$23</f>
        <v>1490.9398368816719</v>
      </c>
      <c r="I43" s="12">
        <f t="shared" si="0"/>
        <v>123.75534998638386</v>
      </c>
      <c r="J43" s="13">
        <f t="shared" si="1"/>
        <v>9.0518398338045383E-2</v>
      </c>
    </row>
    <row r="44" spans="1:10" x14ac:dyDescent="0.35">
      <c r="A44" s="3">
        <v>39501</v>
      </c>
      <c r="B44" s="3">
        <v>594072</v>
      </c>
      <c r="C44" s="18">
        <v>16</v>
      </c>
      <c r="D44" s="18">
        <v>16</v>
      </c>
      <c r="E44" s="19">
        <v>305.91274642944302</v>
      </c>
      <c r="F44" s="19">
        <v>352.33275032043503</v>
      </c>
      <c r="G44" s="12">
        <f>E44/Combined_Summary!$B$23</f>
        <v>1223.6509857177721</v>
      </c>
      <c r="H44" s="12">
        <f>F44/Combined_Summary!$B$23</f>
        <v>1409.3310012817401</v>
      </c>
      <c r="I44" s="12">
        <f t="shared" si="0"/>
        <v>185.68001556396803</v>
      </c>
      <c r="J44" s="13">
        <f t="shared" si="1"/>
        <v>0.15174262737593547</v>
      </c>
    </row>
    <row r="45" spans="1:10" x14ac:dyDescent="0.35">
      <c r="A45" s="3">
        <v>39517</v>
      </c>
      <c r="B45" s="3">
        <v>462866</v>
      </c>
      <c r="C45" s="18">
        <v>494</v>
      </c>
      <c r="D45" s="18">
        <v>494</v>
      </c>
      <c r="E45" s="19">
        <v>329.28351901899998</v>
      </c>
      <c r="F45" s="19">
        <v>368.784306993369</v>
      </c>
      <c r="G45" s="12">
        <f>E45/Combined_Summary!$B$23</f>
        <v>1317.1340760759999</v>
      </c>
      <c r="H45" s="12">
        <f>F45/Combined_Summary!$B$23</f>
        <v>1475.137227973476</v>
      </c>
      <c r="I45" s="12">
        <f t="shared" si="0"/>
        <v>158.00315189747607</v>
      </c>
      <c r="J45" s="13">
        <f t="shared" si="1"/>
        <v>0.11995980877527546</v>
      </c>
    </row>
    <row r="46" spans="1:10" x14ac:dyDescent="0.35">
      <c r="A46" s="3">
        <v>39530</v>
      </c>
      <c r="B46" s="3">
        <v>187770</v>
      </c>
      <c r="C46" s="18">
        <v>549</v>
      </c>
      <c r="D46" s="18">
        <v>549</v>
      </c>
      <c r="E46" s="19">
        <v>350.06044677567598</v>
      </c>
      <c r="F46" s="19">
        <v>376.71975721904698</v>
      </c>
      <c r="G46" s="12">
        <f>E46/Combined_Summary!$B$23</f>
        <v>1400.2417871027039</v>
      </c>
      <c r="H46" s="12">
        <f>F46/Combined_Summary!$B$23</f>
        <v>1506.8790288761879</v>
      </c>
      <c r="I46" s="12">
        <f t="shared" si="0"/>
        <v>106.63724177348399</v>
      </c>
      <c r="J46" s="13">
        <f t="shared" si="1"/>
        <v>7.615630582924636E-2</v>
      </c>
    </row>
    <row r="47" spans="1:10" x14ac:dyDescent="0.35">
      <c r="A47" s="3">
        <v>39531</v>
      </c>
      <c r="B47" s="3">
        <v>31248</v>
      </c>
      <c r="C47" s="18">
        <v>3914</v>
      </c>
      <c r="D47" s="18">
        <v>3914</v>
      </c>
      <c r="E47" s="19">
        <v>299.95519304933401</v>
      </c>
      <c r="F47" s="19">
        <v>329.46557541361398</v>
      </c>
      <c r="G47" s="12">
        <f>E47/Combined_Summary!$B$23</f>
        <v>1199.8207721973361</v>
      </c>
      <c r="H47" s="12">
        <f>F47/Combined_Summary!$B$23</f>
        <v>1317.8623016544559</v>
      </c>
      <c r="I47" s="12">
        <f t="shared" si="0"/>
        <v>118.04152945711985</v>
      </c>
      <c r="J47" s="13">
        <f t="shared" si="1"/>
        <v>9.8382635300554216E-2</v>
      </c>
    </row>
    <row r="48" spans="1:10" x14ac:dyDescent="0.35">
      <c r="A48" s="3">
        <v>39532</v>
      </c>
      <c r="B48" s="3">
        <v>187781</v>
      </c>
      <c r="C48" s="18">
        <v>652</v>
      </c>
      <c r="D48" s="18">
        <v>652</v>
      </c>
      <c r="E48" s="19">
        <v>338.54437865508902</v>
      </c>
      <c r="F48" s="19">
        <v>372.85730893187701</v>
      </c>
      <c r="G48" s="12">
        <f>E48/Combined_Summary!$B$23</f>
        <v>1354.1775146203561</v>
      </c>
      <c r="H48" s="12">
        <f>F48/Combined_Summary!$B$23</f>
        <v>1491.4292357275081</v>
      </c>
      <c r="I48" s="12">
        <f t="shared" si="0"/>
        <v>137.25172110715198</v>
      </c>
      <c r="J48" s="13">
        <f t="shared" si="1"/>
        <v>0.10135430519656097</v>
      </c>
    </row>
    <row r="49" spans="1:10" x14ac:dyDescent="0.35">
      <c r="A49" s="3">
        <v>39549</v>
      </c>
      <c r="B49" s="3">
        <v>180992</v>
      </c>
      <c r="C49" s="18">
        <v>713</v>
      </c>
      <c r="D49" s="18">
        <v>713</v>
      </c>
      <c r="E49" s="19">
        <v>322.37053336936702</v>
      </c>
      <c r="F49" s="19">
        <v>353.91508955774901</v>
      </c>
      <c r="G49" s="12">
        <f>E49/Combined_Summary!$B$23</f>
        <v>1289.4821334774681</v>
      </c>
      <c r="H49" s="12">
        <f>F49/Combined_Summary!$B$23</f>
        <v>1415.6603582309961</v>
      </c>
      <c r="I49" s="12">
        <f t="shared" si="0"/>
        <v>126.17822475352796</v>
      </c>
      <c r="J49" s="13">
        <f t="shared" si="1"/>
        <v>9.7851859655667534E-2</v>
      </c>
    </row>
    <row r="50" spans="1:10" x14ac:dyDescent="0.35">
      <c r="A50" s="3">
        <v>39550</v>
      </c>
      <c r="B50" s="3">
        <v>182487</v>
      </c>
      <c r="C50" s="18">
        <v>445</v>
      </c>
      <c r="D50" s="18">
        <v>445</v>
      </c>
      <c r="E50" s="19">
        <v>316.83405718857</v>
      </c>
      <c r="F50" s="19">
        <v>348.63411731505698</v>
      </c>
      <c r="G50" s="12">
        <f>E50/Combined_Summary!$B$23</f>
        <v>1267.33622875428</v>
      </c>
      <c r="H50" s="12">
        <f>F50/Combined_Summary!$B$23</f>
        <v>1394.5364692602279</v>
      </c>
      <c r="I50" s="12">
        <f t="shared" si="0"/>
        <v>127.20024050594793</v>
      </c>
      <c r="J50" s="13">
        <f t="shared" si="1"/>
        <v>0.10036818771525106</v>
      </c>
    </row>
    <row r="51" spans="1:10" x14ac:dyDescent="0.35">
      <c r="A51" s="3">
        <v>39551</v>
      </c>
      <c r="B51" s="3">
        <v>182431</v>
      </c>
      <c r="C51" s="18">
        <v>840</v>
      </c>
      <c r="D51" s="18">
        <v>840</v>
      </c>
      <c r="E51" s="19">
        <v>295.75565747760601</v>
      </c>
      <c r="F51" s="19">
        <v>338.89399695623501</v>
      </c>
      <c r="G51" s="12">
        <f>E51/Combined_Summary!$B$23</f>
        <v>1183.022629910424</v>
      </c>
      <c r="H51" s="12">
        <f>F51/Combined_Summary!$B$23</f>
        <v>1355.5759878249401</v>
      </c>
      <c r="I51" s="12">
        <f t="shared" si="0"/>
        <v>172.55335791451603</v>
      </c>
      <c r="J51" s="13">
        <f t="shared" si="1"/>
        <v>0.14585803648369888</v>
      </c>
    </row>
    <row r="52" spans="1:10" x14ac:dyDescent="0.35">
      <c r="A52" s="3">
        <v>39552</v>
      </c>
      <c r="B52" s="3">
        <v>635448</v>
      </c>
      <c r="C52" s="18">
        <v>16</v>
      </c>
      <c r="D52" s="18">
        <v>16</v>
      </c>
      <c r="E52" s="19">
        <v>313.77334308624302</v>
      </c>
      <c r="F52" s="19">
        <v>354.96369361877402</v>
      </c>
      <c r="G52" s="12">
        <f>E52/Combined_Summary!$B$23</f>
        <v>1255.0933723449721</v>
      </c>
      <c r="H52" s="12">
        <f>F52/Combined_Summary!$B$23</f>
        <v>1419.8547744750961</v>
      </c>
      <c r="I52" s="12">
        <f t="shared" si="0"/>
        <v>164.761402130124</v>
      </c>
      <c r="J52" s="13">
        <f t="shared" si="1"/>
        <v>0.13127421892308269</v>
      </c>
    </row>
    <row r="53" spans="1:10" x14ac:dyDescent="0.35">
      <c r="A53" s="3">
        <v>39553</v>
      </c>
      <c r="B53" s="3">
        <v>61481</v>
      </c>
      <c r="C53" s="18">
        <v>1484</v>
      </c>
      <c r="D53" s="18">
        <v>1484</v>
      </c>
      <c r="E53" s="19">
        <v>318.07130218001998</v>
      </c>
      <c r="F53" s="19">
        <v>346.60485694350598</v>
      </c>
      <c r="G53" s="12">
        <f>E53/Combined_Summary!$B$23</f>
        <v>1272.2852087200799</v>
      </c>
      <c r="H53" s="12">
        <f>F53/Combined_Summary!$B$23</f>
        <v>1386.4194277740239</v>
      </c>
      <c r="I53" s="12">
        <f t="shared" si="0"/>
        <v>114.13421905394398</v>
      </c>
      <c r="J53" s="13">
        <f t="shared" si="1"/>
        <v>8.9708045233633668E-2</v>
      </c>
    </row>
    <row r="54" spans="1:10" x14ac:dyDescent="0.35">
      <c r="A54" s="3">
        <v>39554</v>
      </c>
      <c r="B54" s="3">
        <v>187835</v>
      </c>
      <c r="C54" s="18">
        <v>1049</v>
      </c>
      <c r="D54" s="18">
        <v>1049</v>
      </c>
      <c r="E54" s="19">
        <v>286.57346602549899</v>
      </c>
      <c r="F54" s="19">
        <v>319.07762489282499</v>
      </c>
      <c r="G54" s="12">
        <f>E54/Combined_Summary!$B$23</f>
        <v>1146.293864101996</v>
      </c>
      <c r="H54" s="12">
        <f>F54/Combined_Summary!$B$23</f>
        <v>1276.3104995712999</v>
      </c>
      <c r="I54" s="12">
        <f t="shared" si="0"/>
        <v>130.01663546930399</v>
      </c>
      <c r="J54" s="13">
        <f t="shared" si="1"/>
        <v>0.11342347677238832</v>
      </c>
    </row>
    <row r="55" spans="1:10" x14ac:dyDescent="0.35">
      <c r="A55" s="3">
        <v>39555</v>
      </c>
      <c r="B55" s="3">
        <v>567586</v>
      </c>
      <c r="C55" s="18">
        <v>15</v>
      </c>
      <c r="D55" s="18">
        <v>15</v>
      </c>
      <c r="E55" s="19">
        <v>386.07876383463503</v>
      </c>
      <c r="F55" s="19">
        <v>415.09005737304699</v>
      </c>
      <c r="G55" s="12">
        <f>E55/Combined_Summary!$B$23</f>
        <v>1544.3150553385401</v>
      </c>
      <c r="H55" s="12">
        <f>F55/Combined_Summary!$B$23</f>
        <v>1660.360229492188</v>
      </c>
      <c r="I55" s="12">
        <f t="shared" si="0"/>
        <v>116.04517415364785</v>
      </c>
      <c r="J55" s="13">
        <f t="shared" si="1"/>
        <v>7.5143458423520174E-2</v>
      </c>
    </row>
    <row r="56" spans="1:10" x14ac:dyDescent="0.35">
      <c r="A56" s="3">
        <v>39570</v>
      </c>
      <c r="B56" s="3">
        <v>182501</v>
      </c>
      <c r="C56" s="18">
        <v>854</v>
      </c>
      <c r="D56" s="18">
        <v>854</v>
      </c>
      <c r="E56" s="19">
        <v>347.43034406121501</v>
      </c>
      <c r="F56" s="19">
        <v>376.280774904917</v>
      </c>
      <c r="G56" s="12">
        <f>E56/Combined_Summary!$B$23</f>
        <v>1389.72137624486</v>
      </c>
      <c r="H56" s="12">
        <f>F56/Combined_Summary!$B$23</f>
        <v>1505.123099619668</v>
      </c>
      <c r="I56" s="12">
        <f t="shared" si="0"/>
        <v>115.40172337480794</v>
      </c>
      <c r="J56" s="13">
        <f t="shared" si="1"/>
        <v>8.3039467728871497E-2</v>
      </c>
    </row>
    <row r="57" spans="1:10" x14ac:dyDescent="0.35">
      <c r="A57" s="3">
        <v>42195</v>
      </c>
      <c r="B57" s="3">
        <v>182273</v>
      </c>
      <c r="C57" s="18">
        <v>727</v>
      </c>
      <c r="D57" s="18">
        <v>727</v>
      </c>
      <c r="E57" s="19">
        <v>323.66449209682901</v>
      </c>
      <c r="F57" s="19">
        <v>354.73580923172301</v>
      </c>
      <c r="G57" s="12">
        <f>E57/Combined_Summary!$B$23</f>
        <v>1294.657968387316</v>
      </c>
      <c r="H57" s="12">
        <f>F57/Combined_Summary!$B$23</f>
        <v>1418.943236926892</v>
      </c>
      <c r="I57" s="12">
        <f t="shared" si="0"/>
        <v>124.28526853957601</v>
      </c>
      <c r="J57" s="13">
        <f t="shared" si="1"/>
        <v>9.5998535191801515E-2</v>
      </c>
    </row>
    <row r="58" spans="1:10" x14ac:dyDescent="0.35">
      <c r="A58" s="3">
        <v>42196</v>
      </c>
      <c r="B58" s="3">
        <v>187520</v>
      </c>
      <c r="C58" s="18">
        <v>398</v>
      </c>
      <c r="D58" s="18">
        <v>398</v>
      </c>
      <c r="E58" s="19">
        <v>351.63904859073199</v>
      </c>
      <c r="F58" s="19">
        <v>378.860891485933</v>
      </c>
      <c r="G58" s="12">
        <f>E58/Combined_Summary!$B$23</f>
        <v>1406.556194362928</v>
      </c>
      <c r="H58" s="12">
        <f>F58/Combined_Summary!$B$23</f>
        <v>1515.443565943732</v>
      </c>
      <c r="I58" s="12">
        <f t="shared" si="0"/>
        <v>108.88737158080403</v>
      </c>
      <c r="J58" s="13">
        <f t="shared" si="1"/>
        <v>7.7414163769064653E-2</v>
      </c>
    </row>
    <row r="59" spans="1:10" x14ac:dyDescent="0.35">
      <c r="A59" s="3">
        <v>42197</v>
      </c>
      <c r="B59" s="3">
        <v>643810</v>
      </c>
      <c r="C59" s="18">
        <v>16</v>
      </c>
      <c r="D59" s="18">
        <v>16</v>
      </c>
      <c r="E59" s="19">
        <v>292.14206314086903</v>
      </c>
      <c r="F59" s="19">
        <v>314.61310577392601</v>
      </c>
      <c r="G59" s="12">
        <f>E59/Combined_Summary!$B$23</f>
        <v>1168.5682525634761</v>
      </c>
      <c r="H59" s="12">
        <f>F59/Combined_Summary!$B$23</f>
        <v>1258.452423095704</v>
      </c>
      <c r="I59" s="12">
        <f t="shared" si="0"/>
        <v>89.884170532227927</v>
      </c>
      <c r="J59" s="13">
        <f t="shared" si="1"/>
        <v>7.6918203395522647E-2</v>
      </c>
    </row>
    <row r="60" spans="1:10" x14ac:dyDescent="0.35">
      <c r="A60" s="3">
        <v>42198</v>
      </c>
      <c r="B60" s="3">
        <v>187548</v>
      </c>
      <c r="C60" s="18">
        <v>394</v>
      </c>
      <c r="D60" s="18">
        <v>394</v>
      </c>
      <c r="E60" s="19">
        <v>360.48360650309502</v>
      </c>
      <c r="F60" s="19">
        <v>386.64565590795502</v>
      </c>
      <c r="G60" s="12">
        <f>E60/Combined_Summary!$B$23</f>
        <v>1441.9344260123801</v>
      </c>
      <c r="H60" s="12">
        <f>F60/Combined_Summary!$B$23</f>
        <v>1546.5826236318201</v>
      </c>
      <c r="I60" s="12">
        <f t="shared" si="0"/>
        <v>104.64819761944</v>
      </c>
      <c r="J60" s="13">
        <f t="shared" si="1"/>
        <v>7.257486591040134E-2</v>
      </c>
    </row>
    <row r="61" spans="1:10" x14ac:dyDescent="0.35">
      <c r="A61" s="3">
        <v>42199</v>
      </c>
      <c r="B61" s="3">
        <v>187616</v>
      </c>
      <c r="C61" s="18">
        <v>598</v>
      </c>
      <c r="D61" s="18">
        <v>598</v>
      </c>
      <c r="E61" s="19">
        <v>325.30059255644602</v>
      </c>
      <c r="F61" s="19">
        <v>366.37397311921899</v>
      </c>
      <c r="G61" s="12">
        <f>E61/Combined_Summary!$B$23</f>
        <v>1301.2023702257841</v>
      </c>
      <c r="H61" s="12">
        <f>F61/Combined_Summary!$B$23</f>
        <v>1465.495892476876</v>
      </c>
      <c r="I61" s="12">
        <f t="shared" si="0"/>
        <v>164.29352225109187</v>
      </c>
      <c r="J61" s="13">
        <f t="shared" si="1"/>
        <v>0.12626285196712617</v>
      </c>
    </row>
    <row r="62" spans="1:10" x14ac:dyDescent="0.35">
      <c r="A62" s="3">
        <v>42213</v>
      </c>
      <c r="B62" s="3">
        <v>182526</v>
      </c>
      <c r="C62" s="18">
        <v>664</v>
      </c>
      <c r="D62" s="18">
        <v>664</v>
      </c>
      <c r="E62" s="19">
        <v>377.33888954714098</v>
      </c>
      <c r="F62" s="19">
        <v>405.253699555455</v>
      </c>
      <c r="G62" s="12">
        <f>E62/Combined_Summary!$B$23</f>
        <v>1509.3555581885639</v>
      </c>
      <c r="H62" s="12">
        <f>F62/Combined_Summary!$B$23</f>
        <v>1621.01479822182</v>
      </c>
      <c r="I62" s="12">
        <f t="shared" si="0"/>
        <v>111.65924003325608</v>
      </c>
      <c r="J62" s="13">
        <f t="shared" si="1"/>
        <v>7.3978089143728776E-2</v>
      </c>
    </row>
    <row r="63" spans="1:10" x14ac:dyDescent="0.35">
      <c r="A63" s="3">
        <v>42214</v>
      </c>
      <c r="B63" s="3">
        <v>187553</v>
      </c>
      <c r="C63" s="18">
        <v>487</v>
      </c>
      <c r="D63" s="18">
        <v>487</v>
      </c>
      <c r="E63" s="19">
        <v>353.02094416060203</v>
      </c>
      <c r="F63" s="19">
        <v>383.61922581729499</v>
      </c>
      <c r="G63" s="12">
        <f>E63/Combined_Summary!$B$23</f>
        <v>1412.0837766424081</v>
      </c>
      <c r="H63" s="12">
        <f>F63/Combined_Summary!$B$23</f>
        <v>1534.47690326918</v>
      </c>
      <c r="I63" s="12">
        <f t="shared" si="0"/>
        <v>122.39312662677185</v>
      </c>
      <c r="J63" s="13">
        <f t="shared" si="1"/>
        <v>8.6675541955303068E-2</v>
      </c>
    </row>
    <row r="64" spans="1:10" x14ac:dyDescent="0.35">
      <c r="A64" s="3">
        <v>42215</v>
      </c>
      <c r="B64" s="3">
        <v>187611</v>
      </c>
      <c r="C64" s="18">
        <v>658</v>
      </c>
      <c r="D64" s="18">
        <v>658</v>
      </c>
      <c r="E64" s="19">
        <v>359.32170612833801</v>
      </c>
      <c r="F64" s="19">
        <v>388.03022427544403</v>
      </c>
      <c r="G64" s="12">
        <f>E64/Combined_Summary!$B$23</f>
        <v>1437.286824513352</v>
      </c>
      <c r="H64" s="12">
        <f>F64/Combined_Summary!$B$23</f>
        <v>1552.1208971017761</v>
      </c>
      <c r="I64" s="12">
        <f t="shared" si="0"/>
        <v>114.83407258842408</v>
      </c>
      <c r="J64" s="13">
        <f t="shared" si="1"/>
        <v>7.9896420554265851E-2</v>
      </c>
    </row>
    <row r="65" spans="1:10" x14ac:dyDescent="0.35">
      <c r="A65" s="3">
        <v>42225</v>
      </c>
      <c r="B65" s="3">
        <v>182275</v>
      </c>
      <c r="C65" s="18">
        <v>598</v>
      </c>
      <c r="D65" s="18">
        <v>598</v>
      </c>
      <c r="E65" s="19">
        <v>280.839089001302</v>
      </c>
      <c r="F65" s="19">
        <v>326.14866088305803</v>
      </c>
      <c r="G65" s="12">
        <f>E65/Combined_Summary!$B$23</f>
        <v>1123.356356005208</v>
      </c>
      <c r="H65" s="12">
        <f>F65/Combined_Summary!$B$23</f>
        <v>1304.5946435322321</v>
      </c>
      <c r="I65" s="12">
        <f t="shared" si="0"/>
        <v>181.23828752702411</v>
      </c>
      <c r="J65" s="13">
        <f t="shared" si="1"/>
        <v>0.16133641525074868</v>
      </c>
    </row>
    <row r="66" spans="1:10" x14ac:dyDescent="0.35">
      <c r="A66" s="3">
        <v>42226</v>
      </c>
      <c r="B66" s="3">
        <v>187492</v>
      </c>
      <c r="C66" s="18">
        <v>524</v>
      </c>
      <c r="D66" s="18">
        <v>524</v>
      </c>
      <c r="E66" s="19">
        <v>348.38900723348098</v>
      </c>
      <c r="F66" s="19">
        <v>378.66246900485697</v>
      </c>
      <c r="G66" s="12">
        <f>E66/Combined_Summary!$B$23</f>
        <v>1393.5560289339239</v>
      </c>
      <c r="H66" s="12">
        <f>F66/Combined_Summary!$B$23</f>
        <v>1514.6498760194279</v>
      </c>
      <c r="I66" s="12">
        <f t="shared" ref="I66:I129" si="2">H66-G66</f>
        <v>121.09384708550397</v>
      </c>
      <c r="J66" s="13">
        <f t="shared" ref="J66:J129" si="3">IF(G66=0,"",I66/G66)</f>
        <v>8.6895571165618121E-2</v>
      </c>
    </row>
    <row r="67" spans="1:10" x14ac:dyDescent="0.35">
      <c r="A67" s="3">
        <v>42227</v>
      </c>
      <c r="B67" s="3">
        <v>187523</v>
      </c>
      <c r="C67" s="18">
        <v>673</v>
      </c>
      <c r="D67" s="18">
        <v>673</v>
      </c>
      <c r="E67" s="19">
        <v>351.36846537256997</v>
      </c>
      <c r="F67" s="19">
        <v>378.17376400634402</v>
      </c>
      <c r="G67" s="12">
        <f>E67/Combined_Summary!$B$23</f>
        <v>1405.4738614902799</v>
      </c>
      <c r="H67" s="12">
        <f>F67/Combined_Summary!$B$23</f>
        <v>1512.6950560253761</v>
      </c>
      <c r="I67" s="12">
        <f t="shared" si="2"/>
        <v>107.22119453509617</v>
      </c>
      <c r="J67" s="13">
        <f t="shared" si="3"/>
        <v>7.6288287867129226E-2</v>
      </c>
    </row>
    <row r="68" spans="1:10" x14ac:dyDescent="0.35">
      <c r="A68" s="3">
        <v>42228</v>
      </c>
      <c r="B68" s="3">
        <v>187525</v>
      </c>
      <c r="C68" s="18">
        <v>395</v>
      </c>
      <c r="D68" s="18">
        <v>395</v>
      </c>
      <c r="E68" s="19">
        <v>351.17982166145401</v>
      </c>
      <c r="F68" s="19">
        <v>380.90719913531001</v>
      </c>
      <c r="G68" s="12">
        <f>E68/Combined_Summary!$B$23</f>
        <v>1404.7192866458161</v>
      </c>
      <c r="H68" s="12">
        <f>F68/Combined_Summary!$B$23</f>
        <v>1523.62879654124</v>
      </c>
      <c r="I68" s="12">
        <f t="shared" si="2"/>
        <v>118.90950989542398</v>
      </c>
      <c r="J68" s="13">
        <f t="shared" si="3"/>
        <v>8.4650015861429298E-2</v>
      </c>
    </row>
    <row r="69" spans="1:10" x14ac:dyDescent="0.35">
      <c r="A69" s="3">
        <v>42250</v>
      </c>
      <c r="B69" s="3">
        <v>182139</v>
      </c>
      <c r="C69" s="18">
        <v>434</v>
      </c>
      <c r="D69" s="18">
        <v>434</v>
      </c>
      <c r="E69" s="19">
        <v>353.95393872590699</v>
      </c>
      <c r="F69" s="19">
        <v>383.26253488426403</v>
      </c>
      <c r="G69" s="12">
        <f>E69/Combined_Summary!$B$23</f>
        <v>1415.815754903628</v>
      </c>
      <c r="H69" s="12">
        <f>F69/Combined_Summary!$B$23</f>
        <v>1533.0501395370561</v>
      </c>
      <c r="I69" s="12">
        <f t="shared" si="2"/>
        <v>117.23438463342814</v>
      </c>
      <c r="J69" s="13">
        <f t="shared" si="3"/>
        <v>8.2803418613891649E-2</v>
      </c>
    </row>
    <row r="70" spans="1:10" x14ac:dyDescent="0.35">
      <c r="A70" s="3">
        <v>42251</v>
      </c>
      <c r="B70" s="3">
        <v>182523</v>
      </c>
      <c r="C70" s="18">
        <v>384</v>
      </c>
      <c r="D70" s="18">
        <v>384</v>
      </c>
      <c r="E70" s="19">
        <v>346.18367125590601</v>
      </c>
      <c r="F70" s="19">
        <v>370.614146987597</v>
      </c>
      <c r="G70" s="12">
        <f>E70/Combined_Summary!$B$23</f>
        <v>1384.734685023624</v>
      </c>
      <c r="H70" s="12">
        <f>F70/Combined_Summary!$B$23</f>
        <v>1482.456587950388</v>
      </c>
      <c r="I70" s="12">
        <f t="shared" si="2"/>
        <v>97.72190292676396</v>
      </c>
      <c r="J70" s="13">
        <f t="shared" si="3"/>
        <v>7.0570849407947625E-2</v>
      </c>
    </row>
    <row r="71" spans="1:10" x14ac:dyDescent="0.35">
      <c r="A71" s="3">
        <v>42252</v>
      </c>
      <c r="B71" s="3">
        <v>187564</v>
      </c>
      <c r="C71" s="18">
        <v>396</v>
      </c>
      <c r="D71" s="18">
        <v>396</v>
      </c>
      <c r="E71" s="19">
        <v>316.35243860880502</v>
      </c>
      <c r="F71" s="19">
        <v>351.41842308429801</v>
      </c>
      <c r="G71" s="12">
        <f>E71/Combined_Summary!$B$23</f>
        <v>1265.4097544352201</v>
      </c>
      <c r="H71" s="12">
        <f>F71/Combined_Summary!$B$23</f>
        <v>1405.6736923371921</v>
      </c>
      <c r="I71" s="12">
        <f t="shared" si="2"/>
        <v>140.26393790197199</v>
      </c>
      <c r="J71" s="13">
        <f t="shared" si="3"/>
        <v>0.11084467889578964</v>
      </c>
    </row>
    <row r="72" spans="1:10" x14ac:dyDescent="0.35">
      <c r="A72" s="3">
        <v>42253</v>
      </c>
      <c r="B72" s="3">
        <v>187565</v>
      </c>
      <c r="C72" s="18">
        <v>308</v>
      </c>
      <c r="D72" s="18">
        <v>308</v>
      </c>
      <c r="E72" s="19">
        <v>325.14823807059997</v>
      </c>
      <c r="F72" s="19">
        <v>360.339740010051</v>
      </c>
      <c r="G72" s="12">
        <f>E72/Combined_Summary!$B$23</f>
        <v>1300.5929522823999</v>
      </c>
      <c r="H72" s="12">
        <f>F72/Combined_Summary!$B$23</f>
        <v>1441.358960040204</v>
      </c>
      <c r="I72" s="12">
        <f t="shared" si="2"/>
        <v>140.76600775780412</v>
      </c>
      <c r="J72" s="13">
        <f t="shared" si="3"/>
        <v>0.10823217787761728</v>
      </c>
    </row>
    <row r="73" spans="1:10" x14ac:dyDescent="0.35">
      <c r="A73" s="3">
        <v>42254</v>
      </c>
      <c r="B73" s="3">
        <v>187608</v>
      </c>
      <c r="C73" s="18">
        <v>530</v>
      </c>
      <c r="D73" s="18">
        <v>530</v>
      </c>
      <c r="E73" s="19">
        <v>349.900302354345</v>
      </c>
      <c r="F73" s="19">
        <v>384.01485146576499</v>
      </c>
      <c r="G73" s="12">
        <f>E73/Combined_Summary!$B$23</f>
        <v>1399.60120941738</v>
      </c>
      <c r="H73" s="12">
        <f>F73/Combined_Summary!$B$23</f>
        <v>1536.05940586306</v>
      </c>
      <c r="I73" s="12">
        <f t="shared" si="2"/>
        <v>136.45819644567996</v>
      </c>
      <c r="J73" s="13">
        <f t="shared" si="3"/>
        <v>9.7497912639332593E-2</v>
      </c>
    </row>
    <row r="74" spans="1:10" x14ac:dyDescent="0.35">
      <c r="A74" s="3">
        <v>42255</v>
      </c>
      <c r="B74" s="3">
        <v>187609</v>
      </c>
      <c r="C74" s="18">
        <v>151</v>
      </c>
      <c r="D74" s="18">
        <v>151</v>
      </c>
      <c r="E74" s="19">
        <v>312.03586224688598</v>
      </c>
      <c r="F74" s="19">
        <v>342.23535661507901</v>
      </c>
      <c r="G74" s="12">
        <f>E74/Combined_Summary!$B$23</f>
        <v>1248.1434489875439</v>
      </c>
      <c r="H74" s="12">
        <f>F74/Combined_Summary!$B$23</f>
        <v>1368.9414264603161</v>
      </c>
      <c r="I74" s="12">
        <f t="shared" si="2"/>
        <v>120.79797747277212</v>
      </c>
      <c r="J74" s="13">
        <f t="shared" si="3"/>
        <v>9.6782126742530894E-2</v>
      </c>
    </row>
    <row r="75" spans="1:10" x14ac:dyDescent="0.35">
      <c r="A75" s="3">
        <v>42281</v>
      </c>
      <c r="B75" s="3">
        <v>633728</v>
      </c>
      <c r="C75" s="18">
        <v>16</v>
      </c>
      <c r="D75" s="18">
        <v>16</v>
      </c>
      <c r="E75" s="19">
        <v>336.78533744812</v>
      </c>
      <c r="F75" s="19">
        <v>350.01006126403797</v>
      </c>
      <c r="G75" s="12">
        <f>E75/Combined_Summary!$B$23</f>
        <v>1347.14134979248</v>
      </c>
      <c r="H75" s="12">
        <f>F75/Combined_Summary!$B$23</f>
        <v>1400.0402450561519</v>
      </c>
      <c r="I75" s="12">
        <f t="shared" si="2"/>
        <v>52.898895263671875</v>
      </c>
      <c r="J75" s="13">
        <f t="shared" si="3"/>
        <v>3.9267516561510542E-2</v>
      </c>
    </row>
    <row r="76" spans="1:10" x14ac:dyDescent="0.35">
      <c r="A76" s="3">
        <v>42282</v>
      </c>
      <c r="B76" s="3">
        <v>633727</v>
      </c>
      <c r="C76" s="18">
        <v>16</v>
      </c>
      <c r="D76" s="18">
        <v>16</v>
      </c>
      <c r="E76" s="19">
        <v>362.29988861084001</v>
      </c>
      <c r="F76" s="19">
        <v>386.52995681762701</v>
      </c>
      <c r="G76" s="12">
        <f>E76/Combined_Summary!$B$23</f>
        <v>1449.1995544433601</v>
      </c>
      <c r="H76" s="12">
        <f>F76/Combined_Summary!$B$23</f>
        <v>1546.119827270508</v>
      </c>
      <c r="I76" s="12">
        <f t="shared" si="2"/>
        <v>96.920272827147983</v>
      </c>
      <c r="J76" s="13">
        <f t="shared" si="3"/>
        <v>6.6878486492755809E-2</v>
      </c>
    </row>
    <row r="77" spans="1:10" x14ac:dyDescent="0.35">
      <c r="A77" s="3">
        <v>42283</v>
      </c>
      <c r="B77" s="3">
        <v>182519</v>
      </c>
      <c r="C77" s="18">
        <v>574</v>
      </c>
      <c r="D77" s="18">
        <v>574</v>
      </c>
      <c r="E77" s="19">
        <v>333.42907434390401</v>
      </c>
      <c r="F77" s="19">
        <v>359.21502649659499</v>
      </c>
      <c r="G77" s="12">
        <f>E77/Combined_Summary!$B$23</f>
        <v>1333.716297375616</v>
      </c>
      <c r="H77" s="12">
        <f>F77/Combined_Summary!$B$23</f>
        <v>1436.8601059863799</v>
      </c>
      <c r="I77" s="12">
        <f t="shared" si="2"/>
        <v>103.14380861076393</v>
      </c>
      <c r="J77" s="13">
        <f t="shared" si="3"/>
        <v>7.7335643879978336E-2</v>
      </c>
    </row>
    <row r="78" spans="1:10" x14ac:dyDescent="0.35">
      <c r="A78" s="3">
        <v>42284</v>
      </c>
      <c r="B78" s="3">
        <v>187422</v>
      </c>
      <c r="C78" s="18">
        <v>445</v>
      </c>
      <c r="D78" s="18">
        <v>445</v>
      </c>
      <c r="E78" s="19">
        <v>384.41788237496701</v>
      </c>
      <c r="F78" s="19">
        <v>405.71436362962999</v>
      </c>
      <c r="G78" s="12">
        <f>E78/Combined_Summary!$B$23</f>
        <v>1537.671529499868</v>
      </c>
      <c r="H78" s="12">
        <f>F78/Combined_Summary!$B$23</f>
        <v>1622.8574545185199</v>
      </c>
      <c r="I78" s="12">
        <f t="shared" si="2"/>
        <v>85.185925018651915</v>
      </c>
      <c r="J78" s="13">
        <f t="shared" si="3"/>
        <v>5.5399299124930065E-2</v>
      </c>
    </row>
    <row r="79" spans="1:10" x14ac:dyDescent="0.35">
      <c r="A79" s="3">
        <v>42285</v>
      </c>
      <c r="B79" s="3">
        <v>187428</v>
      </c>
      <c r="C79" s="18">
        <v>289</v>
      </c>
      <c r="D79" s="18">
        <v>289</v>
      </c>
      <c r="E79" s="19">
        <v>298.96355191399101</v>
      </c>
      <c r="F79" s="19">
        <v>325.678310064296</v>
      </c>
      <c r="G79" s="12">
        <f>E79/Combined_Summary!$B$23</f>
        <v>1195.854207655964</v>
      </c>
      <c r="H79" s="12">
        <f>F79/Combined_Summary!$B$23</f>
        <v>1302.713240257184</v>
      </c>
      <c r="I79" s="12">
        <f t="shared" si="2"/>
        <v>106.85903260121995</v>
      </c>
      <c r="J79" s="13">
        <f t="shared" si="3"/>
        <v>8.9357909950141923E-2</v>
      </c>
    </row>
    <row r="80" spans="1:10" x14ac:dyDescent="0.35">
      <c r="A80" s="3">
        <v>42286</v>
      </c>
      <c r="B80" s="3">
        <v>31221</v>
      </c>
      <c r="C80" s="18">
        <v>812</v>
      </c>
      <c r="D80" s="18">
        <v>812</v>
      </c>
      <c r="E80" s="19">
        <v>307.30837619480798</v>
      </c>
      <c r="F80" s="19">
        <v>342.70512672950503</v>
      </c>
      <c r="G80" s="12">
        <f>E80/Combined_Summary!$B$23</f>
        <v>1229.2335047792319</v>
      </c>
      <c r="H80" s="12">
        <f>F80/Combined_Summary!$B$23</f>
        <v>1370.8205069180201</v>
      </c>
      <c r="I80" s="12">
        <f t="shared" si="2"/>
        <v>141.58700213878819</v>
      </c>
      <c r="J80" s="13">
        <f t="shared" si="3"/>
        <v>0.11518316218057932</v>
      </c>
    </row>
    <row r="81" spans="1:10" x14ac:dyDescent="0.35">
      <c r="A81" s="3">
        <v>42299</v>
      </c>
      <c r="B81" s="3">
        <v>180967</v>
      </c>
      <c r="C81" s="18">
        <v>723</v>
      </c>
      <c r="D81" s="18">
        <v>723</v>
      </c>
      <c r="E81" s="19">
        <v>348.03249170242702</v>
      </c>
      <c r="F81" s="19">
        <v>374.57523064197801</v>
      </c>
      <c r="G81" s="12">
        <f>E81/Combined_Summary!$B$23</f>
        <v>1392.1299668097081</v>
      </c>
      <c r="H81" s="12">
        <f>F81/Combined_Summary!$B$23</f>
        <v>1498.300922567912</v>
      </c>
      <c r="I81" s="12">
        <f t="shared" si="2"/>
        <v>106.17095575820395</v>
      </c>
      <c r="J81" s="13">
        <f t="shared" si="3"/>
        <v>7.6265117689774273E-2</v>
      </c>
    </row>
    <row r="82" spans="1:10" x14ac:dyDescent="0.35">
      <c r="A82" s="3">
        <v>42300</v>
      </c>
      <c r="B82" s="3">
        <v>182514</v>
      </c>
      <c r="C82" s="18">
        <v>724</v>
      </c>
      <c r="D82" s="18">
        <v>724</v>
      </c>
      <c r="E82" s="19">
        <v>352.79729032252999</v>
      </c>
      <c r="F82" s="19">
        <v>380.91544272491302</v>
      </c>
      <c r="G82" s="12">
        <f>E82/Combined_Summary!$B$23</f>
        <v>1411.18916129012</v>
      </c>
      <c r="H82" s="12">
        <f>F82/Combined_Summary!$B$23</f>
        <v>1523.6617708996521</v>
      </c>
      <c r="I82" s="12">
        <f t="shared" si="2"/>
        <v>112.47260960953213</v>
      </c>
      <c r="J82" s="13">
        <f t="shared" si="3"/>
        <v>7.9700590604528734E-2</v>
      </c>
    </row>
    <row r="83" spans="1:10" x14ac:dyDescent="0.35">
      <c r="A83" s="3">
        <v>42301</v>
      </c>
      <c r="B83" s="3">
        <v>187437</v>
      </c>
      <c r="C83" s="18">
        <v>533</v>
      </c>
      <c r="D83" s="18">
        <v>533</v>
      </c>
      <c r="E83" s="19">
        <v>359.543221622202</v>
      </c>
      <c r="F83" s="19">
        <v>388.50109247776601</v>
      </c>
      <c r="G83" s="12">
        <f>E83/Combined_Summary!$B$23</f>
        <v>1438.172886488808</v>
      </c>
      <c r="H83" s="12">
        <f>F83/Combined_Summary!$B$23</f>
        <v>1554.004369911064</v>
      </c>
      <c r="I83" s="12">
        <f t="shared" si="2"/>
        <v>115.83148342225604</v>
      </c>
      <c r="J83" s="13">
        <f t="shared" si="3"/>
        <v>8.0540722544874266E-2</v>
      </c>
    </row>
    <row r="84" spans="1:10" x14ac:dyDescent="0.35">
      <c r="A84" s="3">
        <v>42302</v>
      </c>
      <c r="B84" s="3">
        <v>188669</v>
      </c>
      <c r="C84" s="18">
        <v>475</v>
      </c>
      <c r="D84" s="18">
        <v>475</v>
      </c>
      <c r="E84" s="19">
        <v>366.34429764597002</v>
      </c>
      <c r="F84" s="19">
        <v>403.16927098324402</v>
      </c>
      <c r="G84" s="12">
        <f>E84/Combined_Summary!$B$23</f>
        <v>1465.3771905838801</v>
      </c>
      <c r="H84" s="12">
        <f>F84/Combined_Summary!$B$23</f>
        <v>1612.6770839329761</v>
      </c>
      <c r="I84" s="12">
        <f t="shared" si="2"/>
        <v>147.29989334909601</v>
      </c>
      <c r="J84" s="13">
        <f t="shared" si="3"/>
        <v>0.10052012157388933</v>
      </c>
    </row>
    <row r="85" spans="1:10" x14ac:dyDescent="0.35">
      <c r="A85" s="3">
        <v>42303</v>
      </c>
      <c r="B85" s="3">
        <v>187719</v>
      </c>
      <c r="C85" s="18">
        <v>556</v>
      </c>
      <c r="D85" s="18">
        <v>556</v>
      </c>
      <c r="E85" s="19">
        <v>355.564215296464</v>
      </c>
      <c r="F85" s="19">
        <v>393.726859744504</v>
      </c>
      <c r="G85" s="12">
        <f>E85/Combined_Summary!$B$23</f>
        <v>1422.256861185856</v>
      </c>
      <c r="H85" s="12">
        <f>F85/Combined_Summary!$B$23</f>
        <v>1574.907438978016</v>
      </c>
      <c r="I85" s="12">
        <f t="shared" si="2"/>
        <v>152.65057779215999</v>
      </c>
      <c r="J85" s="13">
        <f t="shared" si="3"/>
        <v>0.10732982343631113</v>
      </c>
    </row>
    <row r="86" spans="1:10" x14ac:dyDescent="0.35">
      <c r="A86" s="3">
        <v>42318</v>
      </c>
      <c r="B86" s="3">
        <v>180958</v>
      </c>
      <c r="C86" s="18">
        <v>526</v>
      </c>
      <c r="D86" s="18">
        <v>526</v>
      </c>
      <c r="E86" s="19">
        <v>352.97556487689002</v>
      </c>
      <c r="F86" s="19">
        <v>377.90640554681897</v>
      </c>
      <c r="G86" s="12">
        <f>E86/Combined_Summary!$B$23</f>
        <v>1411.9022595075601</v>
      </c>
      <c r="H86" s="12">
        <f>F86/Combined_Summary!$B$23</f>
        <v>1511.6256221872759</v>
      </c>
      <c r="I86" s="12">
        <f t="shared" si="2"/>
        <v>99.723362679715819</v>
      </c>
      <c r="J86" s="13">
        <f t="shared" si="3"/>
        <v>7.0630500098850399E-2</v>
      </c>
    </row>
    <row r="87" spans="1:10" x14ac:dyDescent="0.35">
      <c r="A87" s="3">
        <v>42319</v>
      </c>
      <c r="B87" s="3">
        <v>635440</v>
      </c>
      <c r="C87" s="18">
        <v>16</v>
      </c>
      <c r="D87" s="18">
        <v>16</v>
      </c>
      <c r="E87" s="19">
        <v>308.78585815429699</v>
      </c>
      <c r="F87" s="19">
        <v>346.46483039856003</v>
      </c>
      <c r="G87" s="12">
        <f>E87/Combined_Summary!$B$23</f>
        <v>1235.143432617188</v>
      </c>
      <c r="H87" s="12">
        <f>F87/Combined_Summary!$B$23</f>
        <v>1385.8593215942401</v>
      </c>
      <c r="I87" s="12">
        <f t="shared" si="2"/>
        <v>150.71588897705215</v>
      </c>
      <c r="J87" s="13">
        <f t="shared" si="3"/>
        <v>0.122022985344864</v>
      </c>
    </row>
    <row r="88" spans="1:10" x14ac:dyDescent="0.35">
      <c r="A88" s="3">
        <v>42320</v>
      </c>
      <c r="B88" s="3">
        <v>188684</v>
      </c>
      <c r="C88" s="18">
        <v>674</v>
      </c>
      <c r="D88" s="18">
        <v>674</v>
      </c>
      <c r="E88" s="19">
        <v>347.43126239267201</v>
      </c>
      <c r="F88" s="19">
        <v>378.66280565346699</v>
      </c>
      <c r="G88" s="12">
        <f>E88/Combined_Summary!$B$23</f>
        <v>1389.725049570688</v>
      </c>
      <c r="H88" s="12">
        <f>F88/Combined_Summary!$B$23</f>
        <v>1514.651222613868</v>
      </c>
      <c r="I88" s="12">
        <f t="shared" si="2"/>
        <v>124.92617304317992</v>
      </c>
      <c r="J88" s="13">
        <f t="shared" si="3"/>
        <v>8.9892725961708705E-2</v>
      </c>
    </row>
    <row r="89" spans="1:10" x14ac:dyDescent="0.35">
      <c r="A89" s="3">
        <v>42321</v>
      </c>
      <c r="B89" s="3">
        <v>188688</v>
      </c>
      <c r="C89" s="18">
        <v>766</v>
      </c>
      <c r="D89" s="18">
        <v>766</v>
      </c>
      <c r="E89" s="19">
        <v>348.03459535006101</v>
      </c>
      <c r="F89" s="19">
        <v>381.94831535399101</v>
      </c>
      <c r="G89" s="12">
        <f>E89/Combined_Summary!$B$23</f>
        <v>1392.138381400244</v>
      </c>
      <c r="H89" s="12">
        <f>F89/Combined_Summary!$B$23</f>
        <v>1527.793261415964</v>
      </c>
      <c r="I89" s="12">
        <f t="shared" si="2"/>
        <v>135.65488001571998</v>
      </c>
      <c r="J89" s="13">
        <f t="shared" si="3"/>
        <v>9.7443531353022E-2</v>
      </c>
    </row>
    <row r="90" spans="1:10" x14ac:dyDescent="0.35">
      <c r="A90" s="3">
        <v>42322</v>
      </c>
      <c r="B90" s="3">
        <v>182339</v>
      </c>
      <c r="C90" s="18">
        <v>786</v>
      </c>
      <c r="D90" s="18">
        <v>786</v>
      </c>
      <c r="E90" s="19">
        <v>337.12094418086502</v>
      </c>
      <c r="F90" s="19">
        <v>368.34095648651498</v>
      </c>
      <c r="G90" s="12">
        <f>E90/Combined_Summary!$B$23</f>
        <v>1348.4837767234601</v>
      </c>
      <c r="H90" s="12">
        <f>F90/Combined_Summary!$B$23</f>
        <v>1473.3638259460599</v>
      </c>
      <c r="I90" s="12">
        <f t="shared" si="2"/>
        <v>124.88004922259984</v>
      </c>
      <c r="J90" s="13">
        <f t="shared" si="3"/>
        <v>9.2607750555244228E-2</v>
      </c>
    </row>
    <row r="91" spans="1:10" x14ac:dyDescent="0.35">
      <c r="A91" s="3">
        <v>42340</v>
      </c>
      <c r="B91" s="3">
        <v>193697</v>
      </c>
      <c r="C91" s="18">
        <v>469</v>
      </c>
      <c r="D91" s="18">
        <v>469</v>
      </c>
      <c r="E91" s="19">
        <v>351.13889737322398</v>
      </c>
      <c r="F91" s="19">
        <v>377.07111578252</v>
      </c>
      <c r="G91" s="12">
        <f>E91/Combined_Summary!$B$23</f>
        <v>1404.5555894928959</v>
      </c>
      <c r="H91" s="12">
        <f>F91/Combined_Summary!$B$23</f>
        <v>1508.28446313008</v>
      </c>
      <c r="I91" s="12">
        <f t="shared" si="2"/>
        <v>103.72887363718405</v>
      </c>
      <c r="J91" s="13">
        <f t="shared" si="3"/>
        <v>7.3851739591620266E-2</v>
      </c>
    </row>
    <row r="92" spans="1:10" x14ac:dyDescent="0.35">
      <c r="A92" s="3">
        <v>42341</v>
      </c>
      <c r="B92" s="3">
        <v>187675</v>
      </c>
      <c r="C92" s="18">
        <v>635</v>
      </c>
      <c r="D92" s="18">
        <v>635</v>
      </c>
      <c r="E92" s="19">
        <v>338.31805806798297</v>
      </c>
      <c r="F92" s="19">
        <v>373.029802601732</v>
      </c>
      <c r="G92" s="12">
        <f>E92/Combined_Summary!$B$23</f>
        <v>1353.2722322719319</v>
      </c>
      <c r="H92" s="12">
        <f>F92/Combined_Summary!$B$23</f>
        <v>1492.119210406928</v>
      </c>
      <c r="I92" s="12">
        <f t="shared" si="2"/>
        <v>138.84697813499611</v>
      </c>
      <c r="J92" s="13">
        <f t="shared" si="3"/>
        <v>0.10260092154694832</v>
      </c>
    </row>
    <row r="93" spans="1:10" x14ac:dyDescent="0.35">
      <c r="A93" s="3">
        <v>42342</v>
      </c>
      <c r="B93" s="3">
        <v>187701</v>
      </c>
      <c r="C93" s="18">
        <v>424</v>
      </c>
      <c r="D93" s="18">
        <v>424</v>
      </c>
      <c r="E93" s="19">
        <v>390.39106340228398</v>
      </c>
      <c r="F93" s="19">
        <v>417.92318502462098</v>
      </c>
      <c r="G93" s="12">
        <f>E93/Combined_Summary!$B$23</f>
        <v>1561.5642536091359</v>
      </c>
      <c r="H93" s="12">
        <f>F93/Combined_Summary!$B$23</f>
        <v>1671.6927400984839</v>
      </c>
      <c r="I93" s="12">
        <f t="shared" si="2"/>
        <v>110.12848648934801</v>
      </c>
      <c r="J93" s="13">
        <f t="shared" si="3"/>
        <v>7.0524466883008896E-2</v>
      </c>
    </row>
    <row r="94" spans="1:10" x14ac:dyDescent="0.35">
      <c r="A94" s="3">
        <v>42363</v>
      </c>
      <c r="B94" s="3">
        <v>180955</v>
      </c>
      <c r="C94" s="18">
        <v>749</v>
      </c>
      <c r="D94" s="18">
        <v>749</v>
      </c>
      <c r="E94" s="19">
        <v>299.37957631252499</v>
      </c>
      <c r="F94" s="19">
        <v>324.506900150722</v>
      </c>
      <c r="G94" s="12">
        <f>E94/Combined_Summary!$B$23</f>
        <v>1197.5183052501</v>
      </c>
      <c r="H94" s="12">
        <f>F94/Combined_Summary!$B$23</f>
        <v>1298.027600602888</v>
      </c>
      <c r="I94" s="12">
        <f t="shared" si="2"/>
        <v>100.50929535278806</v>
      </c>
      <c r="J94" s="13">
        <f t="shared" si="3"/>
        <v>8.3931322729798974E-2</v>
      </c>
    </row>
    <row r="95" spans="1:10" x14ac:dyDescent="0.35">
      <c r="A95" s="3">
        <v>42364</v>
      </c>
      <c r="B95" s="3">
        <v>188670</v>
      </c>
      <c r="C95" s="18">
        <v>648</v>
      </c>
      <c r="D95" s="18">
        <v>648</v>
      </c>
      <c r="E95" s="19">
        <v>324.63157093966498</v>
      </c>
      <c r="F95" s="19">
        <v>361.04716869636798</v>
      </c>
      <c r="G95" s="12">
        <f>E95/Combined_Summary!$B$23</f>
        <v>1298.5262837586599</v>
      </c>
      <c r="H95" s="12">
        <f>F95/Combined_Summary!$B$23</f>
        <v>1444.1886747854719</v>
      </c>
      <c r="I95" s="12">
        <f t="shared" si="2"/>
        <v>145.66239102681197</v>
      </c>
      <c r="J95" s="13">
        <f t="shared" si="3"/>
        <v>0.11217515798385205</v>
      </c>
    </row>
    <row r="96" spans="1:10" x14ac:dyDescent="0.35">
      <c r="A96" s="3">
        <v>42365</v>
      </c>
      <c r="B96" s="3">
        <v>187673</v>
      </c>
      <c r="C96" s="18">
        <v>573</v>
      </c>
      <c r="D96" s="18">
        <v>573</v>
      </c>
      <c r="E96" s="19">
        <v>340.50196902290099</v>
      </c>
      <c r="F96" s="19">
        <v>358.42668801618902</v>
      </c>
      <c r="G96" s="12">
        <f>E96/Combined_Summary!$B$23</f>
        <v>1362.007876091604</v>
      </c>
      <c r="H96" s="12">
        <f>F96/Combined_Summary!$B$23</f>
        <v>1433.7067520647561</v>
      </c>
      <c r="I96" s="12">
        <f t="shared" si="2"/>
        <v>71.698875973152099</v>
      </c>
      <c r="J96" s="13">
        <f t="shared" si="3"/>
        <v>5.2642042114248298E-2</v>
      </c>
    </row>
    <row r="97" spans="1:10" x14ac:dyDescent="0.35">
      <c r="A97" s="3">
        <v>42382</v>
      </c>
      <c r="B97" s="3">
        <v>180979</v>
      </c>
      <c r="C97" s="18">
        <v>920</v>
      </c>
      <c r="D97" s="18">
        <v>920</v>
      </c>
      <c r="E97" s="19">
        <v>319.86119076687402</v>
      </c>
      <c r="F97" s="19">
        <v>350.44755380879297</v>
      </c>
      <c r="G97" s="12">
        <f>E97/Combined_Summary!$B$23</f>
        <v>1279.4447630674961</v>
      </c>
      <c r="H97" s="12">
        <f>F97/Combined_Summary!$B$23</f>
        <v>1401.7902152351719</v>
      </c>
      <c r="I97" s="12">
        <f t="shared" si="2"/>
        <v>122.34545216767583</v>
      </c>
      <c r="J97" s="13">
        <f t="shared" si="3"/>
        <v>9.5623864116142071E-2</v>
      </c>
    </row>
    <row r="98" spans="1:10" x14ac:dyDescent="0.35">
      <c r="A98" s="3">
        <v>42383</v>
      </c>
      <c r="B98" s="3">
        <v>187682</v>
      </c>
      <c r="C98" s="18">
        <v>446</v>
      </c>
      <c r="D98" s="18">
        <v>446</v>
      </c>
      <c r="E98" s="19">
        <v>311.39778802640802</v>
      </c>
      <c r="F98" s="19">
        <v>359.66382925606598</v>
      </c>
      <c r="G98" s="12">
        <f>E98/Combined_Summary!$B$23</f>
        <v>1245.5911521056321</v>
      </c>
      <c r="H98" s="12">
        <f>F98/Combined_Summary!$B$23</f>
        <v>1438.6553170242639</v>
      </c>
      <c r="I98" s="12">
        <f t="shared" si="2"/>
        <v>193.06416491863183</v>
      </c>
      <c r="J98" s="13">
        <f t="shared" si="3"/>
        <v>0.15499802209759039</v>
      </c>
    </row>
    <row r="99" spans="1:10" x14ac:dyDescent="0.35">
      <c r="A99" s="3">
        <v>42384</v>
      </c>
      <c r="B99" s="3">
        <v>638841</v>
      </c>
      <c r="C99" s="18">
        <v>16</v>
      </c>
      <c r="D99" s="18">
        <v>16</v>
      </c>
      <c r="E99" s="19">
        <v>335.25238609313999</v>
      </c>
      <c r="F99" s="19">
        <v>357.86872482299799</v>
      </c>
      <c r="G99" s="12">
        <f>E99/Combined_Summary!$B$23</f>
        <v>1341.00954437256</v>
      </c>
      <c r="H99" s="12">
        <f>F99/Combined_Summary!$B$23</f>
        <v>1431.474899291992</v>
      </c>
      <c r="I99" s="12">
        <f t="shared" si="2"/>
        <v>90.465354919432002</v>
      </c>
      <c r="J99" s="13">
        <f t="shared" si="3"/>
        <v>6.7460634638331005E-2</v>
      </c>
    </row>
    <row r="100" spans="1:10" x14ac:dyDescent="0.35">
      <c r="A100" s="3">
        <v>42385</v>
      </c>
      <c r="B100" s="3">
        <v>187679</v>
      </c>
      <c r="C100" s="18">
        <v>1714</v>
      </c>
      <c r="D100" s="18">
        <v>1714</v>
      </c>
      <c r="E100" s="19">
        <v>335.08460069787702</v>
      </c>
      <c r="F100" s="19">
        <v>363.72074224233899</v>
      </c>
      <c r="G100" s="12">
        <f>E100/Combined_Summary!$B$23</f>
        <v>1340.3384027915081</v>
      </c>
      <c r="H100" s="12">
        <f>F100/Combined_Summary!$B$23</f>
        <v>1454.8829689693559</v>
      </c>
      <c r="I100" s="12">
        <f t="shared" si="2"/>
        <v>114.54456617784786</v>
      </c>
      <c r="J100" s="13">
        <f t="shared" si="3"/>
        <v>8.5459437660882612E-2</v>
      </c>
    </row>
    <row r="101" spans="1:10" x14ac:dyDescent="0.35">
      <c r="A101" s="3">
        <v>42403</v>
      </c>
      <c r="B101" s="3">
        <v>180981</v>
      </c>
      <c r="C101" s="18">
        <v>373</v>
      </c>
      <c r="D101" s="18">
        <v>373</v>
      </c>
      <c r="E101" s="19">
        <v>359.88498262297998</v>
      </c>
      <c r="F101" s="19">
        <v>383.01495598596199</v>
      </c>
      <c r="G101" s="12">
        <f>E101/Combined_Summary!$B$23</f>
        <v>1439.5399304919199</v>
      </c>
      <c r="H101" s="12">
        <f>F101/Combined_Summary!$B$23</f>
        <v>1532.059823943848</v>
      </c>
      <c r="I101" s="12">
        <f t="shared" si="2"/>
        <v>92.519893451928056</v>
      </c>
      <c r="J101" s="13">
        <f t="shared" si="3"/>
        <v>6.4270459951959888E-2</v>
      </c>
    </row>
    <row r="102" spans="1:10" x14ac:dyDescent="0.35">
      <c r="A102" s="3">
        <v>42404</v>
      </c>
      <c r="B102" s="3">
        <v>187420</v>
      </c>
      <c r="C102" s="18">
        <v>696</v>
      </c>
      <c r="D102" s="18">
        <v>696</v>
      </c>
      <c r="E102" s="19">
        <v>327.08870926122597</v>
      </c>
      <c r="F102" s="19">
        <v>356.02508437496499</v>
      </c>
      <c r="G102" s="12">
        <f>E102/Combined_Summary!$B$23</f>
        <v>1308.3548370449039</v>
      </c>
      <c r="H102" s="12">
        <f>F102/Combined_Summary!$B$23</f>
        <v>1424.10033749986</v>
      </c>
      <c r="I102" s="12">
        <f t="shared" si="2"/>
        <v>115.74550045495607</v>
      </c>
      <c r="J102" s="13">
        <f t="shared" si="3"/>
        <v>8.846644440615431E-2</v>
      </c>
    </row>
    <row r="103" spans="1:10" x14ac:dyDescent="0.35">
      <c r="A103" s="3">
        <v>42405</v>
      </c>
      <c r="B103" s="3">
        <v>187681</v>
      </c>
      <c r="C103" s="18">
        <v>570</v>
      </c>
      <c r="D103" s="18">
        <v>570</v>
      </c>
      <c r="E103" s="19">
        <v>320.75947818421503</v>
      </c>
      <c r="F103" s="19">
        <v>358.16504393460502</v>
      </c>
      <c r="G103" s="12">
        <f>E103/Combined_Summary!$B$23</f>
        <v>1283.0379127368601</v>
      </c>
      <c r="H103" s="12">
        <f>F103/Combined_Summary!$B$23</f>
        <v>1432.6601757384201</v>
      </c>
      <c r="I103" s="12">
        <f t="shared" si="2"/>
        <v>149.62226300155999</v>
      </c>
      <c r="J103" s="13">
        <f t="shared" si="3"/>
        <v>0.11661562103211692</v>
      </c>
    </row>
    <row r="104" spans="1:10" x14ac:dyDescent="0.35">
      <c r="A104" s="3">
        <v>42417</v>
      </c>
      <c r="B104" s="3">
        <v>635072</v>
      </c>
      <c r="C104" s="18">
        <v>16</v>
      </c>
      <c r="D104" s="18">
        <v>16</v>
      </c>
      <c r="E104" s="19">
        <v>379.48069190978998</v>
      </c>
      <c r="F104" s="19">
        <v>413.01382255554199</v>
      </c>
      <c r="G104" s="12">
        <f>E104/Combined_Summary!$B$23</f>
        <v>1517.9227676391599</v>
      </c>
      <c r="H104" s="12">
        <f>F104/Combined_Summary!$B$23</f>
        <v>1652.055290222168</v>
      </c>
      <c r="I104" s="12">
        <f t="shared" si="2"/>
        <v>134.13252258300804</v>
      </c>
      <c r="J104" s="13">
        <f t="shared" si="3"/>
        <v>8.8365841426586975E-2</v>
      </c>
    </row>
    <row r="105" spans="1:10" x14ac:dyDescent="0.35">
      <c r="A105" s="3">
        <v>42418</v>
      </c>
      <c r="B105" s="3">
        <v>182384</v>
      </c>
      <c r="C105" s="18">
        <v>776</v>
      </c>
      <c r="D105" s="18">
        <v>776</v>
      </c>
      <c r="E105" s="19">
        <v>335.97922829500197</v>
      </c>
      <c r="F105" s="19">
        <v>359.998651858458</v>
      </c>
      <c r="G105" s="12">
        <f>E105/Combined_Summary!$B$23</f>
        <v>1343.9169131800079</v>
      </c>
      <c r="H105" s="12">
        <f>F105/Combined_Summary!$B$23</f>
        <v>1439.994607433832</v>
      </c>
      <c r="I105" s="12">
        <f t="shared" si="2"/>
        <v>96.07769425382412</v>
      </c>
      <c r="J105" s="13">
        <f t="shared" si="3"/>
        <v>7.149079925371489E-2</v>
      </c>
    </row>
    <row r="106" spans="1:10" x14ac:dyDescent="0.35">
      <c r="A106" s="3">
        <v>42419</v>
      </c>
      <c r="B106" s="3">
        <v>640544</v>
      </c>
      <c r="C106" s="18">
        <v>16</v>
      </c>
      <c r="D106" s="18">
        <v>16</v>
      </c>
      <c r="E106" s="19">
        <v>270.23268604278599</v>
      </c>
      <c r="F106" s="19">
        <v>335.66422653198202</v>
      </c>
      <c r="G106" s="12">
        <f>E106/Combined_Summary!$B$23</f>
        <v>1080.9307441711439</v>
      </c>
      <c r="H106" s="12">
        <f>F106/Combined_Summary!$B$23</f>
        <v>1342.6569061279281</v>
      </c>
      <c r="I106" s="12">
        <f t="shared" si="2"/>
        <v>261.72616195678415</v>
      </c>
      <c r="J106" s="13">
        <f t="shared" si="3"/>
        <v>0.24213037085690017</v>
      </c>
    </row>
    <row r="107" spans="1:10" x14ac:dyDescent="0.35">
      <c r="A107" s="3">
        <v>42420</v>
      </c>
      <c r="B107" s="3">
        <v>187768</v>
      </c>
      <c r="C107" s="18">
        <v>1466</v>
      </c>
      <c r="D107" s="18">
        <v>1466</v>
      </c>
      <c r="E107" s="19">
        <v>313.12568124872598</v>
      </c>
      <c r="F107" s="19">
        <v>350.70696146654097</v>
      </c>
      <c r="G107" s="12">
        <f>E107/Combined_Summary!$B$23</f>
        <v>1252.5027249949039</v>
      </c>
      <c r="H107" s="12">
        <f>F107/Combined_Summary!$B$23</f>
        <v>1402.8278458661639</v>
      </c>
      <c r="I107" s="12">
        <f t="shared" si="2"/>
        <v>150.32512087125997</v>
      </c>
      <c r="J107" s="13">
        <f t="shared" si="3"/>
        <v>0.12001979546341633</v>
      </c>
    </row>
    <row r="108" spans="1:10" x14ac:dyDescent="0.35">
      <c r="A108" s="3">
        <v>42421</v>
      </c>
      <c r="B108" s="3">
        <v>187767</v>
      </c>
      <c r="C108" s="18">
        <v>787</v>
      </c>
      <c r="D108" s="18">
        <v>787</v>
      </c>
      <c r="E108" s="19">
        <v>319.004322735448</v>
      </c>
      <c r="F108" s="19">
        <v>354.24313204230901</v>
      </c>
      <c r="G108" s="12">
        <f>E108/Combined_Summary!$B$23</f>
        <v>1276.017290941792</v>
      </c>
      <c r="H108" s="12">
        <f>F108/Combined_Summary!$B$23</f>
        <v>1416.9725281692361</v>
      </c>
      <c r="I108" s="12">
        <f t="shared" si="2"/>
        <v>140.95523722744406</v>
      </c>
      <c r="J108" s="13">
        <f t="shared" si="3"/>
        <v>0.11046498995590336</v>
      </c>
    </row>
    <row r="109" spans="1:10" x14ac:dyDescent="0.35">
      <c r="A109" s="3">
        <v>42422</v>
      </c>
      <c r="B109" s="3">
        <v>187787</v>
      </c>
      <c r="C109" s="18">
        <v>652</v>
      </c>
      <c r="D109" s="18">
        <v>652</v>
      </c>
      <c r="E109" s="19">
        <v>352.36072926433502</v>
      </c>
      <c r="F109" s="19">
        <v>374.09312396839402</v>
      </c>
      <c r="G109" s="12">
        <f>E109/Combined_Summary!$B$23</f>
        <v>1409.4429170573401</v>
      </c>
      <c r="H109" s="12">
        <f>F109/Combined_Summary!$B$23</f>
        <v>1496.3724958735761</v>
      </c>
      <c r="I109" s="12">
        <f t="shared" si="2"/>
        <v>86.929578816236017</v>
      </c>
      <c r="J109" s="13">
        <f t="shared" si="3"/>
        <v>6.1676551610709521E-2</v>
      </c>
    </row>
    <row r="110" spans="1:10" x14ac:dyDescent="0.35">
      <c r="A110" s="3">
        <v>42438</v>
      </c>
      <c r="B110" s="3">
        <v>182389</v>
      </c>
      <c r="C110" s="18">
        <v>691</v>
      </c>
      <c r="D110" s="18">
        <v>691</v>
      </c>
      <c r="E110" s="19">
        <v>347.20256124184601</v>
      </c>
      <c r="F110" s="19">
        <v>368.53013072034599</v>
      </c>
      <c r="G110" s="12">
        <f>E110/Combined_Summary!$B$23</f>
        <v>1388.8102449673841</v>
      </c>
      <c r="H110" s="12">
        <f>F110/Combined_Summary!$B$23</f>
        <v>1474.120522881384</v>
      </c>
      <c r="I110" s="12">
        <f t="shared" si="2"/>
        <v>85.310277913999926</v>
      </c>
      <c r="J110" s="13">
        <f t="shared" si="3"/>
        <v>6.1426878310509164E-2</v>
      </c>
    </row>
    <row r="111" spans="1:10" x14ac:dyDescent="0.35">
      <c r="A111" s="3">
        <v>42453</v>
      </c>
      <c r="B111" s="3">
        <v>181028</v>
      </c>
      <c r="C111" s="18">
        <v>380</v>
      </c>
      <c r="D111" s="18">
        <v>380</v>
      </c>
      <c r="E111" s="19">
        <v>320.89354065343002</v>
      </c>
      <c r="F111" s="19">
        <v>351.27039465653303</v>
      </c>
      <c r="G111" s="12">
        <f>E111/Combined_Summary!$B$23</f>
        <v>1283.5741626137201</v>
      </c>
      <c r="H111" s="12">
        <f>F111/Combined_Summary!$B$23</f>
        <v>1405.0815786261321</v>
      </c>
      <c r="I111" s="12">
        <f t="shared" si="2"/>
        <v>121.50741601241202</v>
      </c>
      <c r="J111" s="13">
        <f t="shared" si="3"/>
        <v>9.4663338941778447E-2</v>
      </c>
    </row>
    <row r="112" spans="1:10" x14ac:dyDescent="0.35">
      <c r="A112" s="3">
        <v>42454</v>
      </c>
      <c r="B112" s="3">
        <v>187758</v>
      </c>
      <c r="C112" s="18">
        <v>593</v>
      </c>
      <c r="D112" s="18">
        <v>593</v>
      </c>
      <c r="E112" s="19">
        <v>354.12929443565201</v>
      </c>
      <c r="F112" s="19">
        <v>383.515582414341</v>
      </c>
      <c r="G112" s="12">
        <f>E112/Combined_Summary!$B$23</f>
        <v>1416.5171777426081</v>
      </c>
      <c r="H112" s="12">
        <f>F112/Combined_Summary!$B$23</f>
        <v>1534.062329657364</v>
      </c>
      <c r="I112" s="12">
        <f t="shared" si="2"/>
        <v>117.54515191475593</v>
      </c>
      <c r="J112" s="13">
        <f t="shared" si="3"/>
        <v>8.2981804782684243E-2</v>
      </c>
    </row>
    <row r="113" spans="1:10" x14ac:dyDescent="0.35">
      <c r="A113" s="3">
        <v>42455</v>
      </c>
      <c r="B113" s="3">
        <v>187778</v>
      </c>
      <c r="C113" s="18">
        <v>1049</v>
      </c>
      <c r="D113" s="18">
        <v>1049</v>
      </c>
      <c r="E113" s="19">
        <v>374.89315885356501</v>
      </c>
      <c r="F113" s="19">
        <v>404.541179529705</v>
      </c>
      <c r="G113" s="12">
        <f>E113/Combined_Summary!$B$23</f>
        <v>1499.57263541426</v>
      </c>
      <c r="H113" s="12">
        <f>F113/Combined_Summary!$B$23</f>
        <v>1618.16471811882</v>
      </c>
      <c r="I113" s="12">
        <f t="shared" si="2"/>
        <v>118.59208270455997</v>
      </c>
      <c r="J113" s="13">
        <f t="shared" si="3"/>
        <v>7.9083920247583511E-2</v>
      </c>
    </row>
    <row r="114" spans="1:10" x14ac:dyDescent="0.35">
      <c r="A114" s="3">
        <v>42479</v>
      </c>
      <c r="B114" s="3">
        <v>597227</v>
      </c>
      <c r="C114" s="18">
        <v>16</v>
      </c>
      <c r="D114" s="18">
        <v>16</v>
      </c>
      <c r="E114" s="19">
        <v>375.286905288696</v>
      </c>
      <c r="F114" s="19">
        <v>395.01744079589798</v>
      </c>
      <c r="G114" s="12">
        <f>E114/Combined_Summary!$B$23</f>
        <v>1501.147621154784</v>
      </c>
      <c r="H114" s="12">
        <f>F114/Combined_Summary!$B$23</f>
        <v>1580.0697631835919</v>
      </c>
      <c r="I114" s="12">
        <f t="shared" si="2"/>
        <v>78.922142028807912</v>
      </c>
      <c r="J114" s="13">
        <f t="shared" si="3"/>
        <v>5.2574537584848369E-2</v>
      </c>
    </row>
    <row r="115" spans="1:10" x14ac:dyDescent="0.35">
      <c r="A115" s="3">
        <v>42480</v>
      </c>
      <c r="B115" s="3">
        <v>181012</v>
      </c>
      <c r="C115" s="18">
        <v>571</v>
      </c>
      <c r="D115" s="18">
        <v>571</v>
      </c>
      <c r="E115" s="19">
        <v>363.901704217006</v>
      </c>
      <c r="F115" s="19">
        <v>387.18726678905102</v>
      </c>
      <c r="G115" s="12">
        <f>E115/Combined_Summary!$B$23</f>
        <v>1455.606816868024</v>
      </c>
      <c r="H115" s="12">
        <f>F115/Combined_Summary!$B$23</f>
        <v>1548.7490671562041</v>
      </c>
      <c r="I115" s="12">
        <f t="shared" si="2"/>
        <v>93.142250288180094</v>
      </c>
      <c r="J115" s="13">
        <f t="shared" si="3"/>
        <v>6.3988605445384539E-2</v>
      </c>
    </row>
    <row r="116" spans="1:10" x14ac:dyDescent="0.35">
      <c r="A116" s="3">
        <v>42481</v>
      </c>
      <c r="B116" s="3">
        <v>182415</v>
      </c>
      <c r="C116" s="18">
        <v>626</v>
      </c>
      <c r="D116" s="18">
        <v>626</v>
      </c>
      <c r="E116" s="19">
        <v>328.173976776318</v>
      </c>
      <c r="F116" s="19">
        <v>366.69673363926302</v>
      </c>
      <c r="G116" s="12">
        <f>E116/Combined_Summary!$B$23</f>
        <v>1312.695907105272</v>
      </c>
      <c r="H116" s="12">
        <f>F116/Combined_Summary!$B$23</f>
        <v>1466.7869345570521</v>
      </c>
      <c r="I116" s="12">
        <f t="shared" si="2"/>
        <v>154.09102745178006</v>
      </c>
      <c r="J116" s="13">
        <f t="shared" si="3"/>
        <v>0.11738516637229272</v>
      </c>
    </row>
    <row r="117" spans="1:10" x14ac:dyDescent="0.35">
      <c r="A117" s="3">
        <v>42489</v>
      </c>
      <c r="B117" s="3">
        <v>182414</v>
      </c>
      <c r="C117" s="18">
        <v>619</v>
      </c>
      <c r="D117" s="18">
        <v>619</v>
      </c>
      <c r="E117" s="19">
        <v>313.60232091604797</v>
      </c>
      <c r="F117" s="19">
        <v>346.88732457815701</v>
      </c>
      <c r="G117" s="12">
        <f>E117/Combined_Summary!$B$23</f>
        <v>1254.4092836641919</v>
      </c>
      <c r="H117" s="12">
        <f>F117/Combined_Summary!$B$23</f>
        <v>1387.549298312628</v>
      </c>
      <c r="I117" s="12">
        <f t="shared" si="2"/>
        <v>133.14001464843614</v>
      </c>
      <c r="J117" s="13">
        <f t="shared" si="3"/>
        <v>0.10613761902297753</v>
      </c>
    </row>
    <row r="118" spans="1:10" x14ac:dyDescent="0.35">
      <c r="A118" s="3">
        <v>42513</v>
      </c>
      <c r="B118" s="3">
        <v>180986</v>
      </c>
      <c r="C118" s="18">
        <v>719</v>
      </c>
      <c r="D118" s="18">
        <v>719</v>
      </c>
      <c r="E118" s="19">
        <v>349.61110642689198</v>
      </c>
      <c r="F118" s="19">
        <v>377.059180640379</v>
      </c>
      <c r="G118" s="12">
        <f>E118/Combined_Summary!$B$23</f>
        <v>1398.4444257075679</v>
      </c>
      <c r="H118" s="12">
        <f>F118/Combined_Summary!$B$23</f>
        <v>1508.236722561516</v>
      </c>
      <c r="I118" s="12">
        <f t="shared" si="2"/>
        <v>109.79229685394807</v>
      </c>
      <c r="J118" s="13">
        <f t="shared" si="3"/>
        <v>7.8510303903136305E-2</v>
      </c>
    </row>
    <row r="119" spans="1:10" x14ac:dyDescent="0.35">
      <c r="A119" s="3">
        <v>42514</v>
      </c>
      <c r="B119" s="3">
        <v>182437</v>
      </c>
      <c r="C119" s="18">
        <v>500</v>
      </c>
      <c r="D119" s="18">
        <v>500</v>
      </c>
      <c r="E119" s="19">
        <v>306.11343348693902</v>
      </c>
      <c r="F119" s="19">
        <v>334.965534408569</v>
      </c>
      <c r="G119" s="12">
        <f>E119/Combined_Summary!$B$23</f>
        <v>1224.4537339477561</v>
      </c>
      <c r="H119" s="12">
        <f>F119/Combined_Summary!$B$23</f>
        <v>1339.862137634276</v>
      </c>
      <c r="I119" s="12">
        <f t="shared" si="2"/>
        <v>115.40840368651993</v>
      </c>
      <c r="J119" s="13">
        <f t="shared" si="3"/>
        <v>9.4252972151452535E-2</v>
      </c>
    </row>
    <row r="120" spans="1:10" x14ac:dyDescent="0.35">
      <c r="A120" s="3">
        <v>42515</v>
      </c>
      <c r="B120" s="3">
        <v>182397</v>
      </c>
      <c r="C120" s="18">
        <v>1068</v>
      </c>
      <c r="D120" s="18">
        <v>1068</v>
      </c>
      <c r="E120" s="19">
        <v>356.73266241523697</v>
      </c>
      <c r="F120" s="19">
        <v>383.450700609872</v>
      </c>
      <c r="G120" s="12">
        <f>E120/Combined_Summary!$B$23</f>
        <v>1426.9306496609479</v>
      </c>
      <c r="H120" s="12">
        <f>F120/Combined_Summary!$B$23</f>
        <v>1533.802802439488</v>
      </c>
      <c r="I120" s="12">
        <f t="shared" si="2"/>
        <v>106.87215277854011</v>
      </c>
      <c r="J120" s="13">
        <f t="shared" si="3"/>
        <v>7.4896528996650211E-2</v>
      </c>
    </row>
    <row r="121" spans="1:10" x14ac:dyDescent="0.35">
      <c r="A121" s="3">
        <v>42516</v>
      </c>
      <c r="B121" s="3">
        <v>187753</v>
      </c>
      <c r="C121" s="18">
        <v>493</v>
      </c>
      <c r="D121" s="18">
        <v>493</v>
      </c>
      <c r="E121" s="19">
        <v>379.66868469052599</v>
      </c>
      <c r="F121" s="19">
        <v>414.19955215299399</v>
      </c>
      <c r="G121" s="12">
        <f>E121/Combined_Summary!$B$23</f>
        <v>1518.674738762104</v>
      </c>
      <c r="H121" s="12">
        <f>F121/Combined_Summary!$B$23</f>
        <v>1656.798208611976</v>
      </c>
      <c r="I121" s="12">
        <f t="shared" si="2"/>
        <v>138.12346984987198</v>
      </c>
      <c r="J121" s="13">
        <f t="shared" si="3"/>
        <v>9.0950001553629992E-2</v>
      </c>
    </row>
    <row r="122" spans="1:10" x14ac:dyDescent="0.35">
      <c r="A122" s="3">
        <v>42517</v>
      </c>
      <c r="B122" s="3">
        <v>187776</v>
      </c>
      <c r="C122" s="18">
        <v>326</v>
      </c>
      <c r="D122" s="18">
        <v>326</v>
      </c>
      <c r="E122" s="19">
        <v>363.462141914602</v>
      </c>
      <c r="F122" s="19">
        <v>392.92494838223098</v>
      </c>
      <c r="G122" s="12">
        <f>E122/Combined_Summary!$B$23</f>
        <v>1453.848567658408</v>
      </c>
      <c r="H122" s="12">
        <f>F122/Combined_Summary!$B$23</f>
        <v>1571.6997935289239</v>
      </c>
      <c r="I122" s="12">
        <f t="shared" si="2"/>
        <v>117.85122587051592</v>
      </c>
      <c r="J122" s="13">
        <f t="shared" si="3"/>
        <v>8.1061555166181451E-2</v>
      </c>
    </row>
    <row r="123" spans="1:10" x14ac:dyDescent="0.35">
      <c r="A123" s="3">
        <v>42518</v>
      </c>
      <c r="B123" s="3">
        <v>564826</v>
      </c>
      <c r="C123" s="18">
        <v>14</v>
      </c>
      <c r="D123" s="18">
        <v>14</v>
      </c>
      <c r="E123" s="19">
        <v>468.97406223842103</v>
      </c>
      <c r="F123" s="19">
        <v>490.85826764787998</v>
      </c>
      <c r="G123" s="12">
        <f>E123/Combined_Summary!$B$23</f>
        <v>1875.8962489536841</v>
      </c>
      <c r="H123" s="12">
        <f>F123/Combined_Summary!$B$23</f>
        <v>1963.4330705915199</v>
      </c>
      <c r="I123" s="12">
        <f t="shared" si="2"/>
        <v>87.536821637835828</v>
      </c>
      <c r="J123" s="13">
        <f t="shared" si="3"/>
        <v>4.6663999507787872E-2</v>
      </c>
    </row>
    <row r="124" spans="1:10" x14ac:dyDescent="0.35">
      <c r="A124" s="3">
        <v>42536</v>
      </c>
      <c r="B124" s="3">
        <v>180988</v>
      </c>
      <c r="C124" s="18">
        <v>973</v>
      </c>
      <c r="D124" s="18">
        <v>973</v>
      </c>
      <c r="E124" s="19">
        <v>328.577844460969</v>
      </c>
      <c r="F124" s="19">
        <v>357.78420461437099</v>
      </c>
      <c r="G124" s="12">
        <f>E124/Combined_Summary!$B$23</f>
        <v>1314.311377843876</v>
      </c>
      <c r="H124" s="12">
        <f>F124/Combined_Summary!$B$23</f>
        <v>1431.136818457484</v>
      </c>
      <c r="I124" s="12">
        <f t="shared" si="2"/>
        <v>116.82544061360795</v>
      </c>
      <c r="J124" s="13">
        <f t="shared" si="3"/>
        <v>8.8887186539661364E-2</v>
      </c>
    </row>
    <row r="125" spans="1:10" x14ac:dyDescent="0.35">
      <c r="A125" s="3">
        <v>42537</v>
      </c>
      <c r="B125" s="3">
        <v>462797</v>
      </c>
      <c r="C125" s="18">
        <v>502</v>
      </c>
      <c r="D125" s="18">
        <v>502</v>
      </c>
      <c r="E125" s="19">
        <v>343.98070415937599</v>
      </c>
      <c r="F125" s="19">
        <v>382.851565266036</v>
      </c>
      <c r="G125" s="12">
        <f>E125/Combined_Summary!$B$23</f>
        <v>1375.922816637504</v>
      </c>
      <c r="H125" s="12">
        <f>F125/Combined_Summary!$B$23</f>
        <v>1531.406261064144</v>
      </c>
      <c r="I125" s="12">
        <f t="shared" si="2"/>
        <v>155.48344442664006</v>
      </c>
      <c r="J125" s="13">
        <f t="shared" si="3"/>
        <v>0.11300302789266356</v>
      </c>
    </row>
    <row r="126" spans="1:10" x14ac:dyDescent="0.35">
      <c r="A126" s="3">
        <v>42538</v>
      </c>
      <c r="B126" s="3">
        <v>61532</v>
      </c>
      <c r="C126" s="18">
        <v>1981</v>
      </c>
      <c r="D126" s="18">
        <v>1981</v>
      </c>
      <c r="E126" s="19">
        <v>325.07474513393299</v>
      </c>
      <c r="F126" s="19">
        <v>341.74170496486602</v>
      </c>
      <c r="G126" s="12">
        <f>E126/Combined_Summary!$B$23</f>
        <v>1300.298980535732</v>
      </c>
      <c r="H126" s="12">
        <f>F126/Combined_Summary!$B$23</f>
        <v>1366.9668198594641</v>
      </c>
      <c r="I126" s="12">
        <f t="shared" si="2"/>
        <v>66.667839323732096</v>
      </c>
      <c r="J126" s="13">
        <f t="shared" si="3"/>
        <v>5.1271161726408873E-2</v>
      </c>
    </row>
    <row r="127" spans="1:10" x14ac:dyDescent="0.35">
      <c r="A127" s="3">
        <v>42539</v>
      </c>
      <c r="B127" s="3">
        <v>574740</v>
      </c>
      <c r="C127" s="18">
        <v>17</v>
      </c>
      <c r="D127" s="18">
        <v>17</v>
      </c>
      <c r="E127" s="19">
        <v>465.74977560604299</v>
      </c>
      <c r="F127" s="19">
        <v>483.113229190602</v>
      </c>
      <c r="G127" s="12">
        <f>E127/Combined_Summary!$B$23</f>
        <v>1862.999102424172</v>
      </c>
      <c r="H127" s="12">
        <f>F127/Combined_Summary!$B$23</f>
        <v>1932.452916762408</v>
      </c>
      <c r="I127" s="12">
        <f t="shared" si="2"/>
        <v>69.453814338236043</v>
      </c>
      <c r="J127" s="13">
        <f t="shared" si="3"/>
        <v>3.7280648309417512E-2</v>
      </c>
    </row>
    <row r="128" spans="1:10" x14ac:dyDescent="0.35">
      <c r="A128" s="3">
        <v>42549</v>
      </c>
      <c r="B128" s="3">
        <v>61353</v>
      </c>
      <c r="C128" s="18">
        <v>5341</v>
      </c>
      <c r="D128" s="18">
        <v>5341</v>
      </c>
      <c r="E128" s="19">
        <v>333.60979516379899</v>
      </c>
      <c r="F128" s="19">
        <v>353.78890255412199</v>
      </c>
      <c r="G128" s="12">
        <f>E128/Combined_Summary!$B$23</f>
        <v>1334.439180655196</v>
      </c>
      <c r="H128" s="12">
        <f>F128/Combined_Summary!$B$23</f>
        <v>1415.155610216488</v>
      </c>
      <c r="I128" s="12">
        <f t="shared" si="2"/>
        <v>80.716429561291989</v>
      </c>
      <c r="J128" s="13">
        <f t="shared" si="3"/>
        <v>6.0487155002194294E-2</v>
      </c>
    </row>
    <row r="129" spans="1:10" x14ac:dyDescent="0.35">
      <c r="A129" s="3">
        <v>42550</v>
      </c>
      <c r="B129" s="3">
        <v>632574</v>
      </c>
      <c r="C129" s="18">
        <v>16</v>
      </c>
      <c r="D129" s="18">
        <v>16</v>
      </c>
      <c r="E129" s="19">
        <v>273.458793640137</v>
      </c>
      <c r="F129" s="19">
        <v>309.91637420654303</v>
      </c>
      <c r="G129" s="12">
        <f>E129/Combined_Summary!$B$23</f>
        <v>1093.835174560548</v>
      </c>
      <c r="H129" s="12">
        <f>F129/Combined_Summary!$B$23</f>
        <v>1239.6654968261721</v>
      </c>
      <c r="I129" s="12">
        <f t="shared" si="2"/>
        <v>145.83032226562409</v>
      </c>
      <c r="J129" s="13">
        <f t="shared" si="3"/>
        <v>0.13332019819550228</v>
      </c>
    </row>
    <row r="130" spans="1:10" x14ac:dyDescent="0.35">
      <c r="A130" s="3">
        <v>42551</v>
      </c>
      <c r="B130" s="3">
        <v>182400</v>
      </c>
      <c r="C130" s="18">
        <v>839</v>
      </c>
      <c r="D130" s="18">
        <v>839</v>
      </c>
      <c r="E130" s="19">
        <v>326.64441565421498</v>
      </c>
      <c r="F130" s="19">
        <v>364.97302237000298</v>
      </c>
      <c r="G130" s="12">
        <f>E130/Combined_Summary!$B$23</f>
        <v>1306.5776626168599</v>
      </c>
      <c r="H130" s="12">
        <f>F130/Combined_Summary!$B$23</f>
        <v>1459.8920894800119</v>
      </c>
      <c r="I130" s="12">
        <f t="shared" ref="I130:I193" si="4">H130-G130</f>
        <v>153.31442686315199</v>
      </c>
      <c r="J130" s="13">
        <f t="shared" ref="J130:J193" si="5">IF(G130=0,"",I130/G130)</f>
        <v>0.11734046222410419</v>
      </c>
    </row>
    <row r="131" spans="1:10" x14ac:dyDescent="0.35">
      <c r="A131" s="3">
        <v>42552</v>
      </c>
      <c r="B131" s="3">
        <v>187748</v>
      </c>
      <c r="C131" s="18">
        <v>463</v>
      </c>
      <c r="D131" s="18">
        <v>463</v>
      </c>
      <c r="E131" s="19">
        <v>334.94312887006402</v>
      </c>
      <c r="F131" s="19">
        <v>368.21446284053098</v>
      </c>
      <c r="G131" s="12">
        <f>E131/Combined_Summary!$B$23</f>
        <v>1339.7725154802561</v>
      </c>
      <c r="H131" s="12">
        <f>F131/Combined_Summary!$B$23</f>
        <v>1472.8578513621239</v>
      </c>
      <c r="I131" s="12">
        <f t="shared" si="4"/>
        <v>133.08533588186788</v>
      </c>
      <c r="J131" s="13">
        <f t="shared" si="5"/>
        <v>9.933427827795227E-2</v>
      </c>
    </row>
    <row r="132" spans="1:10" x14ac:dyDescent="0.35">
      <c r="A132" s="3">
        <v>42553</v>
      </c>
      <c r="B132" s="3">
        <v>180692</v>
      </c>
      <c r="C132" s="18">
        <v>521</v>
      </c>
      <c r="D132" s="18">
        <v>521</v>
      </c>
      <c r="E132" s="19">
        <v>321.97318477227901</v>
      </c>
      <c r="F132" s="19">
        <v>356.76480956269802</v>
      </c>
      <c r="G132" s="12">
        <f>E132/Combined_Summary!$B$23</f>
        <v>1287.892739089116</v>
      </c>
      <c r="H132" s="12">
        <f>F132/Combined_Summary!$B$23</f>
        <v>1427.0592382507921</v>
      </c>
      <c r="I132" s="12">
        <f t="shared" si="4"/>
        <v>139.16649916167603</v>
      </c>
      <c r="J132" s="13">
        <f t="shared" si="5"/>
        <v>0.10805752291149952</v>
      </c>
    </row>
    <row r="133" spans="1:10" x14ac:dyDescent="0.35">
      <c r="A133" s="3">
        <v>42568</v>
      </c>
      <c r="B133" s="3">
        <v>632576</v>
      </c>
      <c r="C133" s="18">
        <v>16</v>
      </c>
      <c r="D133" s="18">
        <v>16</v>
      </c>
      <c r="E133" s="19">
        <v>350.51729202270502</v>
      </c>
      <c r="F133" s="19">
        <v>386.84675025939902</v>
      </c>
      <c r="G133" s="12">
        <f>E133/Combined_Summary!$B$23</f>
        <v>1402.0691680908201</v>
      </c>
      <c r="H133" s="12">
        <f>F133/Combined_Summary!$B$23</f>
        <v>1547.3870010375961</v>
      </c>
      <c r="I133" s="12">
        <f t="shared" si="4"/>
        <v>145.31783294677598</v>
      </c>
      <c r="J133" s="13">
        <f t="shared" si="5"/>
        <v>0.1036452667628755</v>
      </c>
    </row>
    <row r="134" spans="1:10" x14ac:dyDescent="0.35">
      <c r="A134" s="3">
        <v>42569</v>
      </c>
      <c r="B134" s="3">
        <v>182435</v>
      </c>
      <c r="C134" s="18">
        <v>1151</v>
      </c>
      <c r="D134" s="18">
        <v>1151</v>
      </c>
      <c r="E134" s="19">
        <v>313.75545088422501</v>
      </c>
      <c r="F134" s="19">
        <v>355.90675787507303</v>
      </c>
      <c r="G134" s="12">
        <f>E134/Combined_Summary!$B$23</f>
        <v>1255.0218035369001</v>
      </c>
      <c r="H134" s="12">
        <f>F134/Combined_Summary!$B$23</f>
        <v>1423.6270315002921</v>
      </c>
      <c r="I134" s="12">
        <f t="shared" si="4"/>
        <v>168.60522796339205</v>
      </c>
      <c r="J134" s="13">
        <f t="shared" si="5"/>
        <v>0.13434446117846649</v>
      </c>
    </row>
    <row r="135" spans="1:10" x14ac:dyDescent="0.35">
      <c r="A135" s="3">
        <v>42570</v>
      </c>
      <c r="B135" s="3">
        <v>187808</v>
      </c>
      <c r="C135" s="18">
        <v>492</v>
      </c>
      <c r="D135" s="18">
        <v>492</v>
      </c>
      <c r="E135" s="19">
        <v>326.38994796101599</v>
      </c>
      <c r="F135" s="19">
        <v>361.816241163548</v>
      </c>
      <c r="G135" s="12">
        <f>E135/Combined_Summary!$B$23</f>
        <v>1305.559791844064</v>
      </c>
      <c r="H135" s="12">
        <f>F135/Combined_Summary!$B$23</f>
        <v>1447.264964654192</v>
      </c>
      <c r="I135" s="12">
        <f t="shared" si="4"/>
        <v>141.70517281012803</v>
      </c>
      <c r="J135" s="13">
        <f t="shared" si="5"/>
        <v>0.10853978017350989</v>
      </c>
    </row>
    <row r="136" spans="1:10" x14ac:dyDescent="0.35">
      <c r="A136" s="3">
        <v>42577</v>
      </c>
      <c r="B136" s="3">
        <v>182408</v>
      </c>
      <c r="C136" s="18">
        <v>379</v>
      </c>
      <c r="D136" s="18">
        <v>379</v>
      </c>
      <c r="E136" s="19">
        <v>341.19958167969401</v>
      </c>
      <c r="F136" s="19">
        <v>371.68876815030899</v>
      </c>
      <c r="G136" s="12">
        <f>E136/Combined_Summary!$B$23</f>
        <v>1364.798326718776</v>
      </c>
      <c r="H136" s="12">
        <f>F136/Combined_Summary!$B$23</f>
        <v>1486.755072601236</v>
      </c>
      <c r="I136" s="12">
        <f t="shared" si="4"/>
        <v>121.95674588245993</v>
      </c>
      <c r="J136" s="13">
        <f t="shared" si="5"/>
        <v>8.9358803784340926E-2</v>
      </c>
    </row>
    <row r="137" spans="1:10" x14ac:dyDescent="0.35">
      <c r="A137" s="3">
        <v>42578</v>
      </c>
      <c r="B137" s="3">
        <v>586213</v>
      </c>
      <c r="C137" s="18">
        <v>12</v>
      </c>
      <c r="D137" s="18">
        <v>12</v>
      </c>
      <c r="E137" s="19">
        <v>351.82628631591803</v>
      </c>
      <c r="F137" s="19">
        <v>358.65769195556601</v>
      </c>
      <c r="G137" s="12">
        <f>E137/Combined_Summary!$B$23</f>
        <v>1407.3051452636721</v>
      </c>
      <c r="H137" s="12">
        <f>F137/Combined_Summary!$B$23</f>
        <v>1434.630767822264</v>
      </c>
      <c r="I137" s="12">
        <f t="shared" si="4"/>
        <v>27.325622558591931</v>
      </c>
      <c r="J137" s="13">
        <f t="shared" si="5"/>
        <v>1.9416984760239907E-2</v>
      </c>
    </row>
    <row r="138" spans="1:10" x14ac:dyDescent="0.35">
      <c r="A138" s="3">
        <v>42579</v>
      </c>
      <c r="B138" s="3">
        <v>585129</v>
      </c>
      <c r="C138" s="18">
        <v>17</v>
      </c>
      <c r="D138" s="18">
        <v>17</v>
      </c>
      <c r="E138" s="19">
        <v>364.15426994772503</v>
      </c>
      <c r="F138" s="19">
        <v>378.91915893554699</v>
      </c>
      <c r="G138" s="12">
        <f>E138/Combined_Summary!$B$23</f>
        <v>1456.6170797909001</v>
      </c>
      <c r="H138" s="12">
        <f>F138/Combined_Summary!$B$23</f>
        <v>1515.676635742188</v>
      </c>
      <c r="I138" s="12">
        <f t="shared" si="4"/>
        <v>59.059555951287848</v>
      </c>
      <c r="J138" s="13">
        <f t="shared" si="5"/>
        <v>4.0545697816316936E-2</v>
      </c>
    </row>
    <row r="139" spans="1:10" x14ac:dyDescent="0.35">
      <c r="A139" s="3">
        <v>45091</v>
      </c>
      <c r="B139" s="3">
        <v>182512</v>
      </c>
      <c r="C139" s="18">
        <v>18</v>
      </c>
      <c r="D139" s="18">
        <v>18</v>
      </c>
      <c r="E139" s="19">
        <v>239.62443245781799</v>
      </c>
      <c r="F139" s="19">
        <v>275.46854315863698</v>
      </c>
      <c r="G139" s="12">
        <f>E139/Combined_Summary!$B$23</f>
        <v>958.49772983127195</v>
      </c>
      <c r="H139" s="12">
        <f>F139/Combined_Summary!$B$23</f>
        <v>1101.8741726345479</v>
      </c>
      <c r="I139" s="12">
        <f t="shared" si="4"/>
        <v>143.37644280327595</v>
      </c>
      <c r="J139" s="13">
        <f t="shared" si="5"/>
        <v>0.149584540829862</v>
      </c>
    </row>
    <row r="140" spans="1:10" x14ac:dyDescent="0.35">
      <c r="A140" s="3">
        <v>45110</v>
      </c>
      <c r="B140" s="3">
        <v>182284</v>
      </c>
      <c r="C140" s="18">
        <v>524</v>
      </c>
      <c r="D140" s="18">
        <v>524</v>
      </c>
      <c r="E140" s="19">
        <v>350.85956300487999</v>
      </c>
      <c r="F140" s="19">
        <v>381.48353051047297</v>
      </c>
      <c r="G140" s="12">
        <f>E140/Combined_Summary!$B$23</f>
        <v>1403.43825201952</v>
      </c>
      <c r="H140" s="12">
        <f>F140/Combined_Summary!$B$23</f>
        <v>1525.9341220418919</v>
      </c>
      <c r="I140" s="12">
        <f t="shared" si="4"/>
        <v>122.49587002237195</v>
      </c>
      <c r="J140" s="13">
        <f t="shared" si="5"/>
        <v>8.7282692947910467E-2</v>
      </c>
    </row>
    <row r="141" spans="1:10" x14ac:dyDescent="0.35">
      <c r="A141" s="3">
        <v>45112</v>
      </c>
      <c r="B141" s="3">
        <v>182290</v>
      </c>
      <c r="C141" s="18">
        <v>203</v>
      </c>
      <c r="D141" s="18">
        <v>203</v>
      </c>
      <c r="E141" s="19">
        <v>357.36217630320601</v>
      </c>
      <c r="F141" s="19">
        <v>390.81998860777298</v>
      </c>
      <c r="G141" s="12">
        <f>E141/Combined_Summary!$B$23</f>
        <v>1429.4487052128241</v>
      </c>
      <c r="H141" s="12">
        <f>F141/Combined_Summary!$B$23</f>
        <v>1563.2799544310919</v>
      </c>
      <c r="I141" s="12">
        <f t="shared" si="4"/>
        <v>133.83124921826789</v>
      </c>
      <c r="J141" s="13">
        <f t="shared" si="5"/>
        <v>9.3624380315446412E-2</v>
      </c>
    </row>
    <row r="142" spans="1:10" x14ac:dyDescent="0.35">
      <c r="A142" s="3">
        <v>45113</v>
      </c>
      <c r="B142" s="3">
        <v>187495</v>
      </c>
      <c r="C142" s="18">
        <v>420</v>
      </c>
      <c r="D142" s="18">
        <v>420</v>
      </c>
      <c r="E142" s="19">
        <v>349.43672470819399</v>
      </c>
      <c r="F142" s="19">
        <v>370.69366774786101</v>
      </c>
      <c r="G142" s="12">
        <f>E142/Combined_Summary!$B$23</f>
        <v>1397.746898832776</v>
      </c>
      <c r="H142" s="12">
        <f>F142/Combined_Summary!$B$23</f>
        <v>1482.7746709914441</v>
      </c>
      <c r="I142" s="12">
        <f t="shared" si="4"/>
        <v>85.027772158668085</v>
      </c>
      <c r="J142" s="13">
        <f t="shared" si="5"/>
        <v>6.0832023472684994E-2</v>
      </c>
    </row>
    <row r="143" spans="1:10" x14ac:dyDescent="0.35">
      <c r="A143" s="3">
        <v>45114</v>
      </c>
      <c r="B143" s="3">
        <v>187532</v>
      </c>
      <c r="C143" s="18">
        <v>529</v>
      </c>
      <c r="D143" s="18">
        <v>529</v>
      </c>
      <c r="E143" s="19">
        <v>346.76134803930597</v>
      </c>
      <c r="F143" s="19">
        <v>373.71778745597197</v>
      </c>
      <c r="G143" s="12">
        <f>E143/Combined_Summary!$B$23</f>
        <v>1387.0453921572239</v>
      </c>
      <c r="H143" s="12">
        <f>F143/Combined_Summary!$B$23</f>
        <v>1494.8711498238879</v>
      </c>
      <c r="I143" s="12">
        <f t="shared" si="4"/>
        <v>107.825757666664</v>
      </c>
      <c r="J143" s="13">
        <f t="shared" si="5"/>
        <v>7.7737728178431359E-2</v>
      </c>
    </row>
    <row r="144" spans="1:10" x14ac:dyDescent="0.35">
      <c r="A144" s="3">
        <v>45115</v>
      </c>
      <c r="B144" s="3">
        <v>187600</v>
      </c>
      <c r="C144" s="18">
        <v>523</v>
      </c>
      <c r="D144" s="18">
        <v>523</v>
      </c>
      <c r="E144" s="19">
        <v>366.19229255078199</v>
      </c>
      <c r="F144" s="19">
        <v>396.656763503474</v>
      </c>
      <c r="G144" s="12">
        <f>E144/Combined_Summary!$B$23</f>
        <v>1464.7691702031279</v>
      </c>
      <c r="H144" s="12">
        <f>F144/Combined_Summary!$B$23</f>
        <v>1586.627054013896</v>
      </c>
      <c r="I144" s="12">
        <f t="shared" si="4"/>
        <v>121.85788381076804</v>
      </c>
      <c r="J144" s="13">
        <f t="shared" si="5"/>
        <v>8.319255094225482E-2</v>
      </c>
    </row>
    <row r="145" spans="1:10" x14ac:dyDescent="0.35">
      <c r="A145" s="3">
        <v>45128</v>
      </c>
      <c r="B145" s="3">
        <v>182283</v>
      </c>
      <c r="C145" s="18">
        <v>615</v>
      </c>
      <c r="D145" s="18">
        <v>615</v>
      </c>
      <c r="E145" s="19">
        <v>338.86975895331199</v>
      </c>
      <c r="F145" s="19">
        <v>368.37123864646901</v>
      </c>
      <c r="G145" s="12">
        <f>E145/Combined_Summary!$B$23</f>
        <v>1355.4790358132479</v>
      </c>
      <c r="H145" s="12">
        <f>F145/Combined_Summary!$B$23</f>
        <v>1473.484954585876</v>
      </c>
      <c r="I145" s="12">
        <f t="shared" si="4"/>
        <v>118.00591877262809</v>
      </c>
      <c r="J145" s="13">
        <f t="shared" si="5"/>
        <v>8.7058460997759352E-2</v>
      </c>
    </row>
    <row r="146" spans="1:10" x14ac:dyDescent="0.35">
      <c r="A146" s="3">
        <v>45129</v>
      </c>
      <c r="B146" s="3">
        <v>187522</v>
      </c>
      <c r="C146" s="18">
        <v>491</v>
      </c>
      <c r="D146" s="18">
        <v>491</v>
      </c>
      <c r="E146" s="19">
        <v>344.48115491381498</v>
      </c>
      <c r="F146" s="19">
        <v>372.36579834419501</v>
      </c>
      <c r="G146" s="12">
        <f>E146/Combined_Summary!$B$23</f>
        <v>1377.9246196552599</v>
      </c>
      <c r="H146" s="12">
        <f>F146/Combined_Summary!$B$23</f>
        <v>1489.4631933767801</v>
      </c>
      <c r="I146" s="12">
        <f t="shared" si="4"/>
        <v>111.53857372152015</v>
      </c>
      <c r="J146" s="13">
        <f t="shared" si="5"/>
        <v>8.0946789200577421E-2</v>
      </c>
    </row>
    <row r="147" spans="1:10" x14ac:dyDescent="0.35">
      <c r="A147" s="3">
        <v>45130</v>
      </c>
      <c r="B147" s="3">
        <v>187551</v>
      </c>
      <c r="C147" s="18">
        <v>465</v>
      </c>
      <c r="D147" s="18">
        <v>465</v>
      </c>
      <c r="E147" s="19">
        <v>299.11435875841403</v>
      </c>
      <c r="F147" s="19">
        <v>328.32020572129102</v>
      </c>
      <c r="G147" s="12">
        <f>E147/Combined_Summary!$B$23</f>
        <v>1196.4574350336561</v>
      </c>
      <c r="H147" s="12">
        <f>F147/Combined_Summary!$B$23</f>
        <v>1313.2808228851641</v>
      </c>
      <c r="I147" s="12">
        <f t="shared" si="4"/>
        <v>116.82338785150796</v>
      </c>
      <c r="J147" s="13">
        <f t="shared" si="5"/>
        <v>9.7641073080231844E-2</v>
      </c>
    </row>
    <row r="148" spans="1:10" x14ac:dyDescent="0.35">
      <c r="A148" s="3">
        <v>45144</v>
      </c>
      <c r="B148" s="3">
        <v>187524</v>
      </c>
      <c r="C148" s="18">
        <v>539</v>
      </c>
      <c r="D148" s="18">
        <v>539</v>
      </c>
      <c r="E148" s="19">
        <v>365.521328036108</v>
      </c>
      <c r="F148" s="19">
        <v>394.05125759881997</v>
      </c>
      <c r="G148" s="12">
        <f>E148/Combined_Summary!$B$23</f>
        <v>1462.085312144432</v>
      </c>
      <c r="H148" s="12">
        <f>F148/Combined_Summary!$B$23</f>
        <v>1576.2050303952799</v>
      </c>
      <c r="I148" s="12">
        <f t="shared" si="4"/>
        <v>114.11971825084788</v>
      </c>
      <c r="J148" s="13">
        <f t="shared" si="5"/>
        <v>7.8052708212675473E-2</v>
      </c>
    </row>
    <row r="149" spans="1:10" x14ac:dyDescent="0.35">
      <c r="A149" s="3">
        <v>45145</v>
      </c>
      <c r="B149" s="3">
        <v>187527</v>
      </c>
      <c r="C149" s="18">
        <v>354</v>
      </c>
      <c r="D149" s="18">
        <v>354</v>
      </c>
      <c r="E149" s="19">
        <v>333.07025491315801</v>
      </c>
      <c r="F149" s="19">
        <v>366.98331490209603</v>
      </c>
      <c r="G149" s="12">
        <f>E149/Combined_Summary!$B$23</f>
        <v>1332.281019652632</v>
      </c>
      <c r="H149" s="12">
        <f>F149/Combined_Summary!$B$23</f>
        <v>1467.9332596083841</v>
      </c>
      <c r="I149" s="12">
        <f t="shared" si="4"/>
        <v>135.65223995575207</v>
      </c>
      <c r="J149" s="13">
        <f t="shared" si="5"/>
        <v>0.10181953953762767</v>
      </c>
    </row>
    <row r="150" spans="1:10" x14ac:dyDescent="0.35">
      <c r="A150" s="3">
        <v>45160</v>
      </c>
      <c r="B150" s="3">
        <v>187559</v>
      </c>
      <c r="C150" s="18">
        <v>317</v>
      </c>
      <c r="D150" s="18">
        <v>317</v>
      </c>
      <c r="E150" s="19">
        <v>347.19863147916101</v>
      </c>
      <c r="F150" s="19">
        <v>372.01249901804601</v>
      </c>
      <c r="G150" s="12">
        <f>E150/Combined_Summary!$B$23</f>
        <v>1388.794525916644</v>
      </c>
      <c r="H150" s="12">
        <f>F150/Combined_Summary!$B$23</f>
        <v>1488.0499960721841</v>
      </c>
      <c r="I150" s="12">
        <f t="shared" si="4"/>
        <v>99.255470155540024</v>
      </c>
      <c r="J150" s="13">
        <f t="shared" si="5"/>
        <v>7.1468794197635951E-2</v>
      </c>
    </row>
    <row r="151" spans="1:10" x14ac:dyDescent="0.35">
      <c r="A151" s="3">
        <v>45161</v>
      </c>
      <c r="B151" s="3">
        <v>187569</v>
      </c>
      <c r="C151" s="18">
        <v>734</v>
      </c>
      <c r="D151" s="18">
        <v>734</v>
      </c>
      <c r="E151" s="19">
        <v>325.31326806902598</v>
      </c>
      <c r="F151" s="19">
        <v>362.46235807455201</v>
      </c>
      <c r="G151" s="12">
        <f>E151/Combined_Summary!$B$23</f>
        <v>1301.2530722761039</v>
      </c>
      <c r="H151" s="12">
        <f>F151/Combined_Summary!$B$23</f>
        <v>1449.8494322982081</v>
      </c>
      <c r="I151" s="12">
        <f t="shared" si="4"/>
        <v>148.59636002210414</v>
      </c>
      <c r="J151" s="13">
        <f t="shared" si="5"/>
        <v>0.11419481973801211</v>
      </c>
    </row>
    <row r="152" spans="1:10" x14ac:dyDescent="0.35">
      <c r="A152" s="3">
        <v>45176</v>
      </c>
      <c r="B152" s="3">
        <v>182266</v>
      </c>
      <c r="C152" s="18">
        <v>429</v>
      </c>
      <c r="D152" s="18">
        <v>429</v>
      </c>
      <c r="E152" s="19">
        <v>358.371316033921</v>
      </c>
      <c r="F152" s="19">
        <v>376.72475243059398</v>
      </c>
      <c r="G152" s="12">
        <f>E152/Combined_Summary!$B$23</f>
        <v>1433.485264135684</v>
      </c>
      <c r="H152" s="12">
        <f>F152/Combined_Summary!$B$23</f>
        <v>1506.8990097223759</v>
      </c>
      <c r="I152" s="12">
        <f t="shared" si="4"/>
        <v>73.413745586691903</v>
      </c>
      <c r="J152" s="13">
        <f t="shared" si="5"/>
        <v>5.1213463733062174E-2</v>
      </c>
    </row>
    <row r="153" spans="1:10" x14ac:dyDescent="0.35">
      <c r="A153" s="3">
        <v>45177</v>
      </c>
      <c r="B153" s="3">
        <v>643812</v>
      </c>
      <c r="C153" s="18">
        <v>16</v>
      </c>
      <c r="D153" s="18">
        <v>16</v>
      </c>
      <c r="E153" s="19">
        <v>302.36226081848099</v>
      </c>
      <c r="F153" s="19">
        <v>334.73936462402298</v>
      </c>
      <c r="G153" s="12">
        <f>E153/Combined_Summary!$B$23</f>
        <v>1209.449043273924</v>
      </c>
      <c r="H153" s="12">
        <f>F153/Combined_Summary!$B$23</f>
        <v>1338.9574584960919</v>
      </c>
      <c r="I153" s="12">
        <f t="shared" si="4"/>
        <v>129.50841522216797</v>
      </c>
      <c r="J153" s="13">
        <f t="shared" si="5"/>
        <v>0.10708050574135354</v>
      </c>
    </row>
    <row r="154" spans="1:10" x14ac:dyDescent="0.35">
      <c r="A154" s="3">
        <v>45178</v>
      </c>
      <c r="B154" s="3">
        <v>462933</v>
      </c>
      <c r="C154" s="18">
        <v>173</v>
      </c>
      <c r="D154" s="18">
        <v>173</v>
      </c>
      <c r="E154" s="19">
        <v>316.800669631517</v>
      </c>
      <c r="F154" s="19">
        <v>342.56716839564302</v>
      </c>
      <c r="G154" s="12">
        <f>E154/Combined_Summary!$B$23</f>
        <v>1267.202678526068</v>
      </c>
      <c r="H154" s="12">
        <f>F154/Combined_Summary!$B$23</f>
        <v>1370.2686735825721</v>
      </c>
      <c r="I154" s="12">
        <f t="shared" si="4"/>
        <v>103.06599505650411</v>
      </c>
      <c r="J154" s="13">
        <f t="shared" si="5"/>
        <v>8.1333473171303669E-2</v>
      </c>
    </row>
    <row r="155" spans="1:10" x14ac:dyDescent="0.35">
      <c r="A155" s="3">
        <v>45179</v>
      </c>
      <c r="B155" s="3">
        <v>187639</v>
      </c>
      <c r="C155" s="18">
        <v>876</v>
      </c>
      <c r="D155" s="18">
        <v>876</v>
      </c>
      <c r="E155" s="19">
        <v>329.50387048068097</v>
      </c>
      <c r="F155" s="19">
        <v>354.29356382535502</v>
      </c>
      <c r="G155" s="12">
        <f>E155/Combined_Summary!$B$23</f>
        <v>1318.0154819227239</v>
      </c>
      <c r="H155" s="12">
        <f>F155/Combined_Summary!$B$23</f>
        <v>1417.1742553014201</v>
      </c>
      <c r="I155" s="12">
        <f t="shared" si="4"/>
        <v>99.158773378696196</v>
      </c>
      <c r="J155" s="13">
        <f t="shared" si="5"/>
        <v>7.5233390456114491E-2</v>
      </c>
    </row>
    <row r="156" spans="1:10" x14ac:dyDescent="0.35">
      <c r="A156" s="3">
        <v>45196</v>
      </c>
      <c r="B156" s="3">
        <v>643813</v>
      </c>
      <c r="C156" s="18">
        <v>16</v>
      </c>
      <c r="D156" s="18">
        <v>16</v>
      </c>
      <c r="E156" s="19">
        <v>273.66437911987299</v>
      </c>
      <c r="F156" s="19">
        <v>311.935995101929</v>
      </c>
      <c r="G156" s="12">
        <f>E156/Combined_Summary!$B$23</f>
        <v>1094.657516479492</v>
      </c>
      <c r="H156" s="12">
        <f>F156/Combined_Summary!$B$23</f>
        <v>1247.743980407716</v>
      </c>
      <c r="I156" s="12">
        <f t="shared" si="4"/>
        <v>153.08646392822402</v>
      </c>
      <c r="J156" s="13">
        <f t="shared" si="5"/>
        <v>0.13984873042352333</v>
      </c>
    </row>
    <row r="157" spans="1:10" x14ac:dyDescent="0.35">
      <c r="A157" s="3">
        <v>45197</v>
      </c>
      <c r="B157" s="3">
        <v>187426</v>
      </c>
      <c r="C157" s="18">
        <v>396</v>
      </c>
      <c r="D157" s="18">
        <v>396</v>
      </c>
      <c r="E157" s="19">
        <v>332.721689725163</v>
      </c>
      <c r="F157" s="19">
        <v>366.36723385435198</v>
      </c>
      <c r="G157" s="12">
        <f>E157/Combined_Summary!$B$23</f>
        <v>1330.886758900652</v>
      </c>
      <c r="H157" s="12">
        <f>F157/Combined_Summary!$B$23</f>
        <v>1465.4689354174079</v>
      </c>
      <c r="I157" s="12">
        <f t="shared" si="4"/>
        <v>134.58217651675591</v>
      </c>
      <c r="J157" s="13">
        <f t="shared" si="5"/>
        <v>0.10112218460113344</v>
      </c>
    </row>
    <row r="158" spans="1:10" x14ac:dyDescent="0.35">
      <c r="A158" s="3">
        <v>45198</v>
      </c>
      <c r="B158" s="3">
        <v>187432</v>
      </c>
      <c r="C158" s="18">
        <v>570</v>
      </c>
      <c r="D158" s="18">
        <v>570</v>
      </c>
      <c r="E158" s="19">
        <v>345.76613025330698</v>
      </c>
      <c r="F158" s="19">
        <v>372.79723071717399</v>
      </c>
      <c r="G158" s="12">
        <f>E158/Combined_Summary!$B$23</f>
        <v>1383.0645210132279</v>
      </c>
      <c r="H158" s="12">
        <f>F158/Combined_Summary!$B$23</f>
        <v>1491.188922868696</v>
      </c>
      <c r="I158" s="12">
        <f t="shared" si="4"/>
        <v>108.12440185546802</v>
      </c>
      <c r="J158" s="13">
        <f t="shared" si="5"/>
        <v>7.8177409811840515E-2</v>
      </c>
    </row>
    <row r="159" spans="1:10" x14ac:dyDescent="0.35">
      <c r="A159" s="3">
        <v>45199</v>
      </c>
      <c r="B159" s="3">
        <v>187439</v>
      </c>
      <c r="C159" s="18">
        <v>530</v>
      </c>
      <c r="D159" s="18">
        <v>530</v>
      </c>
      <c r="E159" s="19">
        <v>327.79838847034398</v>
      </c>
      <c r="F159" s="19">
        <v>364.67073623369299</v>
      </c>
      <c r="G159" s="12">
        <f>E159/Combined_Summary!$B$23</f>
        <v>1311.1935538813759</v>
      </c>
      <c r="H159" s="12">
        <f>F159/Combined_Summary!$B$23</f>
        <v>1458.682944934772</v>
      </c>
      <c r="I159" s="12">
        <f t="shared" si="4"/>
        <v>147.48939105339605</v>
      </c>
      <c r="J159" s="13">
        <f t="shared" si="5"/>
        <v>0.11248483537521986</v>
      </c>
    </row>
    <row r="160" spans="1:10" x14ac:dyDescent="0.35">
      <c r="A160" s="3">
        <v>45208</v>
      </c>
      <c r="B160" s="3">
        <v>188658</v>
      </c>
      <c r="C160" s="18">
        <v>279</v>
      </c>
      <c r="D160" s="18">
        <v>279</v>
      </c>
      <c r="E160" s="19">
        <v>377.50197688823999</v>
      </c>
      <c r="F160" s="19">
        <v>402.94006336718098</v>
      </c>
      <c r="G160" s="12">
        <f>E160/Combined_Summary!$B$23</f>
        <v>1510.00790755296</v>
      </c>
      <c r="H160" s="12">
        <f>F160/Combined_Summary!$B$23</f>
        <v>1611.7602534687239</v>
      </c>
      <c r="I160" s="12">
        <f t="shared" si="4"/>
        <v>101.75234591576395</v>
      </c>
      <c r="J160" s="13">
        <f t="shared" si="5"/>
        <v>6.7385306664160788E-2</v>
      </c>
    </row>
    <row r="161" spans="1:10" x14ac:dyDescent="0.35">
      <c r="A161" s="3">
        <v>45209</v>
      </c>
      <c r="B161" s="3">
        <v>182449</v>
      </c>
      <c r="C161" s="18">
        <v>525</v>
      </c>
      <c r="D161" s="18">
        <v>525</v>
      </c>
      <c r="E161" s="19">
        <v>308.21660275413899</v>
      </c>
      <c r="F161" s="19">
        <v>346.77468813941601</v>
      </c>
      <c r="G161" s="12">
        <f>E161/Combined_Summary!$B$23</f>
        <v>1232.866411016556</v>
      </c>
      <c r="H161" s="12">
        <f>F161/Combined_Summary!$B$23</f>
        <v>1387.0987525576641</v>
      </c>
      <c r="I161" s="12">
        <f t="shared" si="4"/>
        <v>154.2323415411081</v>
      </c>
      <c r="J161" s="13">
        <f t="shared" si="5"/>
        <v>0.12510061119593349</v>
      </c>
    </row>
    <row r="162" spans="1:10" x14ac:dyDescent="0.35">
      <c r="A162" s="3">
        <v>45220</v>
      </c>
      <c r="B162" s="3">
        <v>188668</v>
      </c>
      <c r="C162" s="18">
        <v>451</v>
      </c>
      <c r="D162" s="18">
        <v>451</v>
      </c>
      <c r="E162" s="19">
        <v>389.59418154291501</v>
      </c>
      <c r="F162" s="19">
        <v>420.67904351820198</v>
      </c>
      <c r="G162" s="12">
        <f>E162/Combined_Summary!$B$23</f>
        <v>1558.37672617166</v>
      </c>
      <c r="H162" s="12">
        <f>F162/Combined_Summary!$B$23</f>
        <v>1682.7161740728079</v>
      </c>
      <c r="I162" s="12">
        <f t="shared" si="4"/>
        <v>124.33944790114788</v>
      </c>
      <c r="J162" s="13">
        <f t="shared" si="5"/>
        <v>7.9787798298683973E-2</v>
      </c>
    </row>
    <row r="163" spans="1:10" x14ac:dyDescent="0.35">
      <c r="A163" s="3">
        <v>45236</v>
      </c>
      <c r="B163" s="3">
        <v>180973</v>
      </c>
      <c r="C163" s="18">
        <v>680</v>
      </c>
      <c r="D163" s="18">
        <v>680</v>
      </c>
      <c r="E163" s="19">
        <v>336.69754689160499</v>
      </c>
      <c r="F163" s="19">
        <v>368.16276709612703</v>
      </c>
      <c r="G163" s="12">
        <f>E163/Combined_Summary!$B$23</f>
        <v>1346.7901875664199</v>
      </c>
      <c r="H163" s="12">
        <f>F163/Combined_Summary!$B$23</f>
        <v>1472.6510683845081</v>
      </c>
      <c r="I163" s="12">
        <f t="shared" si="4"/>
        <v>125.86088081808816</v>
      </c>
      <c r="J163" s="13">
        <f t="shared" si="5"/>
        <v>9.3452478329614397E-2</v>
      </c>
    </row>
    <row r="164" spans="1:10" x14ac:dyDescent="0.35">
      <c r="A164" s="3">
        <v>45251</v>
      </c>
      <c r="B164" s="3">
        <v>182380</v>
      </c>
      <c r="C164" s="18">
        <v>611</v>
      </c>
      <c r="D164" s="18">
        <v>611</v>
      </c>
      <c r="E164" s="19">
        <v>367.76121517250101</v>
      </c>
      <c r="F164" s="19">
        <v>390.18701721291302</v>
      </c>
      <c r="G164" s="12">
        <f>E164/Combined_Summary!$B$23</f>
        <v>1471.044860690004</v>
      </c>
      <c r="H164" s="12">
        <f>F164/Combined_Summary!$B$23</f>
        <v>1560.7480688516521</v>
      </c>
      <c r="I164" s="12">
        <f t="shared" si="4"/>
        <v>89.703208161648035</v>
      </c>
      <c r="J164" s="13">
        <f t="shared" si="5"/>
        <v>6.0979247172361632E-2</v>
      </c>
    </row>
    <row r="165" spans="1:10" x14ac:dyDescent="0.35">
      <c r="A165" s="3">
        <v>45275</v>
      </c>
      <c r="B165" s="3">
        <v>633729</v>
      </c>
      <c r="C165" s="18">
        <v>16</v>
      </c>
      <c r="D165" s="18">
        <v>16</v>
      </c>
      <c r="E165" s="19">
        <v>421.64469146728499</v>
      </c>
      <c r="F165" s="19">
        <v>462.13376045227102</v>
      </c>
      <c r="G165" s="12">
        <f>E165/Combined_Summary!$B$23</f>
        <v>1686.5787658691399</v>
      </c>
      <c r="H165" s="12">
        <f>F165/Combined_Summary!$B$23</f>
        <v>1848.5350418090841</v>
      </c>
      <c r="I165" s="12">
        <f t="shared" si="4"/>
        <v>161.95627593994413</v>
      </c>
      <c r="J165" s="13">
        <f t="shared" si="5"/>
        <v>9.6026511905291101E-2</v>
      </c>
    </row>
    <row r="166" spans="1:10" x14ac:dyDescent="0.35">
      <c r="A166" s="3">
        <v>45276</v>
      </c>
      <c r="B166" s="3">
        <v>638463</v>
      </c>
      <c r="C166" s="18">
        <v>16</v>
      </c>
      <c r="D166" s="18">
        <v>16</v>
      </c>
      <c r="E166" s="19">
        <v>163.908268928528</v>
      </c>
      <c r="F166" s="19">
        <v>197.413674354553</v>
      </c>
      <c r="G166" s="12">
        <f>E166/Combined_Summary!$B$23</f>
        <v>655.63307571411201</v>
      </c>
      <c r="H166" s="12">
        <f>F166/Combined_Summary!$B$23</f>
        <v>789.65469741821198</v>
      </c>
      <c r="I166" s="12">
        <f t="shared" si="4"/>
        <v>134.02162170409997</v>
      </c>
      <c r="J166" s="13">
        <f t="shared" si="5"/>
        <v>0.20441558955536882</v>
      </c>
    </row>
    <row r="167" spans="1:10" x14ac:dyDescent="0.35">
      <c r="A167" s="3">
        <v>45286</v>
      </c>
      <c r="B167" s="3">
        <v>180953</v>
      </c>
      <c r="C167" s="18">
        <v>977</v>
      </c>
      <c r="D167" s="18">
        <v>977</v>
      </c>
      <c r="E167" s="19">
        <v>339.40165466808401</v>
      </c>
      <c r="F167" s="19">
        <v>362.37738043356597</v>
      </c>
      <c r="G167" s="12">
        <f>E167/Combined_Summary!$B$23</f>
        <v>1357.606618672336</v>
      </c>
      <c r="H167" s="12">
        <f>F167/Combined_Summary!$B$23</f>
        <v>1449.5095217342639</v>
      </c>
      <c r="I167" s="12">
        <f t="shared" si="4"/>
        <v>91.902903061927873</v>
      </c>
      <c r="J167" s="13">
        <f t="shared" si="5"/>
        <v>6.7694795972491506E-2</v>
      </c>
    </row>
    <row r="168" spans="1:10" x14ac:dyDescent="0.35">
      <c r="A168" s="3">
        <v>45287</v>
      </c>
      <c r="B168" s="3">
        <v>180976</v>
      </c>
      <c r="C168" s="18">
        <v>483</v>
      </c>
      <c r="D168" s="18">
        <v>483</v>
      </c>
      <c r="E168" s="19">
        <v>356.96178842232598</v>
      </c>
      <c r="F168" s="19">
        <v>379.71818975286698</v>
      </c>
      <c r="G168" s="12">
        <f>E168/Combined_Summary!$B$23</f>
        <v>1427.8471536893039</v>
      </c>
      <c r="H168" s="12">
        <f>F168/Combined_Summary!$B$23</f>
        <v>1518.8727590114679</v>
      </c>
      <c r="I168" s="12">
        <f t="shared" si="4"/>
        <v>91.025605322163983</v>
      </c>
      <c r="J168" s="13">
        <f t="shared" si="5"/>
        <v>6.375024461614813E-2</v>
      </c>
    </row>
    <row r="169" spans="1:10" x14ac:dyDescent="0.35">
      <c r="A169" s="3">
        <v>45288</v>
      </c>
      <c r="B169" s="3">
        <v>182382</v>
      </c>
      <c r="C169" s="18">
        <v>502</v>
      </c>
      <c r="D169" s="18">
        <v>502</v>
      </c>
      <c r="E169" s="19">
        <v>332.44976180483098</v>
      </c>
      <c r="F169" s="19">
        <v>357.56740814756103</v>
      </c>
      <c r="G169" s="12">
        <f>E169/Combined_Summary!$B$23</f>
        <v>1329.7990472193239</v>
      </c>
      <c r="H169" s="12">
        <f>F169/Combined_Summary!$B$23</f>
        <v>1430.2696325902441</v>
      </c>
      <c r="I169" s="12">
        <f t="shared" si="4"/>
        <v>100.47058537092016</v>
      </c>
      <c r="J169" s="13">
        <f t="shared" si="5"/>
        <v>7.5553209021324813E-2</v>
      </c>
    </row>
    <row r="170" spans="1:10" x14ac:dyDescent="0.35">
      <c r="A170" s="3">
        <v>45289</v>
      </c>
      <c r="B170" s="3">
        <v>182383</v>
      </c>
      <c r="C170" s="18">
        <v>489</v>
      </c>
      <c r="D170" s="18">
        <v>489</v>
      </c>
      <c r="E170" s="19">
        <v>337.653039397881</v>
      </c>
      <c r="F170" s="19">
        <v>363.01880756526401</v>
      </c>
      <c r="G170" s="12">
        <f>E170/Combined_Summary!$B$23</f>
        <v>1350.612157591524</v>
      </c>
      <c r="H170" s="12">
        <f>F170/Combined_Summary!$B$23</f>
        <v>1452.075230261056</v>
      </c>
      <c r="I170" s="12">
        <f t="shared" si="4"/>
        <v>101.46307266953204</v>
      </c>
      <c r="J170" s="13">
        <f t="shared" si="5"/>
        <v>7.5123766729944016E-2</v>
      </c>
    </row>
    <row r="171" spans="1:10" x14ac:dyDescent="0.35">
      <c r="A171" s="3">
        <v>45299</v>
      </c>
      <c r="B171" s="3">
        <v>180971</v>
      </c>
      <c r="C171" s="18">
        <v>685</v>
      </c>
      <c r="D171" s="18">
        <v>685</v>
      </c>
      <c r="E171" s="19">
        <v>352.45191184830497</v>
      </c>
      <c r="F171" s="19">
        <v>380.19286453358501</v>
      </c>
      <c r="G171" s="12">
        <f>E171/Combined_Summary!$B$23</f>
        <v>1409.8076473932199</v>
      </c>
      <c r="H171" s="12">
        <f>F171/Combined_Summary!$B$23</f>
        <v>1520.77145813434</v>
      </c>
      <c r="I171" s="12">
        <f t="shared" si="4"/>
        <v>110.96381074112014</v>
      </c>
      <c r="J171" s="13">
        <f t="shared" si="5"/>
        <v>7.8708475547210874E-2</v>
      </c>
    </row>
    <row r="172" spans="1:10" x14ac:dyDescent="0.35">
      <c r="A172" s="3">
        <v>45300</v>
      </c>
      <c r="B172" s="3">
        <v>181027</v>
      </c>
      <c r="C172" s="18">
        <v>667</v>
      </c>
      <c r="D172" s="18">
        <v>667</v>
      </c>
      <c r="E172" s="19">
        <v>345.15555788695002</v>
      </c>
      <c r="F172" s="19">
        <v>368.672011116634</v>
      </c>
      <c r="G172" s="12">
        <f>E172/Combined_Summary!$B$23</f>
        <v>1380.6222315478001</v>
      </c>
      <c r="H172" s="12">
        <f>F172/Combined_Summary!$B$23</f>
        <v>1474.688044466536</v>
      </c>
      <c r="I172" s="12">
        <f t="shared" si="4"/>
        <v>94.065812918735901</v>
      </c>
      <c r="J172" s="13">
        <f t="shared" si="5"/>
        <v>6.8132911935859367E-2</v>
      </c>
    </row>
    <row r="173" spans="1:10" x14ac:dyDescent="0.35">
      <c r="A173" s="3">
        <v>45301</v>
      </c>
      <c r="B173" s="3">
        <v>638842</v>
      </c>
      <c r="C173" s="18">
        <v>16</v>
      </c>
      <c r="D173" s="18">
        <v>16</v>
      </c>
      <c r="E173" s="19">
        <v>276.13219738006597</v>
      </c>
      <c r="F173" s="19">
        <v>329.42731761932401</v>
      </c>
      <c r="G173" s="12">
        <f>E173/Combined_Summary!$B$23</f>
        <v>1104.5287895202639</v>
      </c>
      <c r="H173" s="12">
        <f>F173/Combined_Summary!$B$23</f>
        <v>1317.7092704772961</v>
      </c>
      <c r="I173" s="12">
        <f t="shared" si="4"/>
        <v>213.18048095703216</v>
      </c>
      <c r="J173" s="13">
        <f t="shared" si="5"/>
        <v>0.19300581657959681</v>
      </c>
    </row>
    <row r="174" spans="1:10" x14ac:dyDescent="0.35">
      <c r="A174" s="3">
        <v>45315</v>
      </c>
      <c r="B174" s="3">
        <v>635444</v>
      </c>
      <c r="C174" s="18">
        <v>16</v>
      </c>
      <c r="D174" s="18">
        <v>16</v>
      </c>
      <c r="E174" s="19">
        <v>347.902729034424</v>
      </c>
      <c r="F174" s="19">
        <v>402.35458374023398</v>
      </c>
      <c r="G174" s="12">
        <f>E174/Combined_Summary!$B$23</f>
        <v>1391.610916137696</v>
      </c>
      <c r="H174" s="12">
        <f>F174/Combined_Summary!$B$23</f>
        <v>1609.4183349609359</v>
      </c>
      <c r="I174" s="12">
        <f t="shared" si="4"/>
        <v>217.80741882323991</v>
      </c>
      <c r="J174" s="13">
        <f t="shared" si="5"/>
        <v>0.15651459491834604</v>
      </c>
    </row>
    <row r="175" spans="1:10" x14ac:dyDescent="0.35">
      <c r="A175" s="3">
        <v>45316</v>
      </c>
      <c r="B175" s="3">
        <v>187765</v>
      </c>
      <c r="C175" s="18">
        <v>438</v>
      </c>
      <c r="D175" s="18">
        <v>438</v>
      </c>
      <c r="E175" s="19">
        <v>340.64714172223898</v>
      </c>
      <c r="F175" s="19">
        <v>373.43344903536598</v>
      </c>
      <c r="G175" s="12">
        <f>E175/Combined_Summary!$B$23</f>
        <v>1362.5885668889559</v>
      </c>
      <c r="H175" s="12">
        <f>F175/Combined_Summary!$B$23</f>
        <v>1493.7337961414639</v>
      </c>
      <c r="I175" s="12">
        <f t="shared" si="4"/>
        <v>131.14522925250799</v>
      </c>
      <c r="J175" s="13">
        <f t="shared" si="5"/>
        <v>9.6247122894871362E-2</v>
      </c>
    </row>
    <row r="176" spans="1:10" x14ac:dyDescent="0.35">
      <c r="A176" s="3">
        <v>45317</v>
      </c>
      <c r="B176" s="3">
        <v>187793</v>
      </c>
      <c r="C176" s="18">
        <v>262</v>
      </c>
      <c r="D176" s="18">
        <v>262</v>
      </c>
      <c r="E176" s="19">
        <v>341.68693559952402</v>
      </c>
      <c r="F176" s="19">
        <v>359.513981593474</v>
      </c>
      <c r="G176" s="12">
        <f>E176/Combined_Summary!$B$23</f>
        <v>1366.7477423980961</v>
      </c>
      <c r="H176" s="12">
        <f>F176/Combined_Summary!$B$23</f>
        <v>1438.055926373896</v>
      </c>
      <c r="I176" s="12">
        <f t="shared" si="4"/>
        <v>71.308183975799921</v>
      </c>
      <c r="J176" s="13">
        <f t="shared" si="5"/>
        <v>5.2173624849515064E-2</v>
      </c>
    </row>
    <row r="177" spans="1:10" x14ac:dyDescent="0.35">
      <c r="A177" s="3">
        <v>45330</v>
      </c>
      <c r="B177" s="3">
        <v>181014</v>
      </c>
      <c r="C177" s="18">
        <v>737</v>
      </c>
      <c r="D177" s="18">
        <v>737</v>
      </c>
      <c r="E177" s="19">
        <v>320.35422734295503</v>
      </c>
      <c r="F177" s="19">
        <v>353.27768678289902</v>
      </c>
      <c r="G177" s="12">
        <f>E177/Combined_Summary!$B$23</f>
        <v>1281.4169093718201</v>
      </c>
      <c r="H177" s="12">
        <f>F177/Combined_Summary!$B$23</f>
        <v>1413.1107471315961</v>
      </c>
      <c r="I177" s="12">
        <f t="shared" si="4"/>
        <v>131.69383775977599</v>
      </c>
      <c r="J177" s="13">
        <f t="shared" si="5"/>
        <v>0.10277204615969623</v>
      </c>
    </row>
    <row r="178" spans="1:10" x14ac:dyDescent="0.35">
      <c r="A178" s="3">
        <v>45331</v>
      </c>
      <c r="B178" s="3">
        <v>635443</v>
      </c>
      <c r="C178" s="18">
        <v>16</v>
      </c>
      <c r="D178" s="18">
        <v>16</v>
      </c>
      <c r="E178" s="19">
        <v>262.794690132141</v>
      </c>
      <c r="F178" s="19">
        <v>342.78221130371099</v>
      </c>
      <c r="G178" s="12">
        <f>E178/Combined_Summary!$B$23</f>
        <v>1051.178760528564</v>
      </c>
      <c r="H178" s="12">
        <f>F178/Combined_Summary!$B$23</f>
        <v>1371.128845214844</v>
      </c>
      <c r="I178" s="12">
        <f t="shared" si="4"/>
        <v>319.95008468627998</v>
      </c>
      <c r="J178" s="13">
        <f t="shared" si="5"/>
        <v>0.3043726687603539</v>
      </c>
    </row>
    <row r="179" spans="1:10" x14ac:dyDescent="0.35">
      <c r="A179" s="3">
        <v>45332</v>
      </c>
      <c r="B179" s="3">
        <v>598078</v>
      </c>
      <c r="C179" s="18">
        <v>16</v>
      </c>
      <c r="D179" s="18">
        <v>16</v>
      </c>
      <c r="E179" s="19">
        <v>355.848557472229</v>
      </c>
      <c r="F179" s="19">
        <v>389.780117034912</v>
      </c>
      <c r="G179" s="12">
        <f>E179/Combined_Summary!$B$23</f>
        <v>1423.394229888916</v>
      </c>
      <c r="H179" s="12">
        <f>F179/Combined_Summary!$B$23</f>
        <v>1559.120468139648</v>
      </c>
      <c r="I179" s="12">
        <f t="shared" si="4"/>
        <v>135.72623825073197</v>
      </c>
      <c r="J179" s="13">
        <f t="shared" si="5"/>
        <v>9.5353933155485862E-2</v>
      </c>
    </row>
    <row r="180" spans="1:10" x14ac:dyDescent="0.35">
      <c r="A180" s="3">
        <v>45345</v>
      </c>
      <c r="B180" s="3">
        <v>182477</v>
      </c>
      <c r="C180" s="18">
        <v>933</v>
      </c>
      <c r="D180" s="18">
        <v>933</v>
      </c>
      <c r="E180" s="19">
        <v>345.77419128090901</v>
      </c>
      <c r="F180" s="19">
        <v>371.88090206035901</v>
      </c>
      <c r="G180" s="12">
        <f>E180/Combined_Summary!$B$23</f>
        <v>1383.096765123636</v>
      </c>
      <c r="H180" s="12">
        <f>F180/Combined_Summary!$B$23</f>
        <v>1487.523608241436</v>
      </c>
      <c r="I180" s="12">
        <f t="shared" si="4"/>
        <v>104.42684311779999</v>
      </c>
      <c r="J180" s="13">
        <f t="shared" si="5"/>
        <v>7.5502196050950349E-2</v>
      </c>
    </row>
    <row r="181" spans="1:10" x14ac:dyDescent="0.35">
      <c r="A181" s="3">
        <v>45346</v>
      </c>
      <c r="B181" s="3">
        <v>181032</v>
      </c>
      <c r="C181" s="18">
        <v>568</v>
      </c>
      <c r="D181" s="18">
        <v>568</v>
      </c>
      <c r="E181" s="19">
        <v>367.13269108785698</v>
      </c>
      <c r="F181" s="19">
        <v>393.97896245499697</v>
      </c>
      <c r="G181" s="12">
        <f>E181/Combined_Summary!$B$23</f>
        <v>1468.5307643514279</v>
      </c>
      <c r="H181" s="12">
        <f>F181/Combined_Summary!$B$23</f>
        <v>1575.9158498199879</v>
      </c>
      <c r="I181" s="12">
        <f t="shared" si="4"/>
        <v>107.38508546855996</v>
      </c>
      <c r="J181" s="13">
        <f t="shared" si="5"/>
        <v>7.3124164692583926E-2</v>
      </c>
    </row>
    <row r="182" spans="1:10" x14ac:dyDescent="0.35">
      <c r="A182" s="3">
        <v>45347</v>
      </c>
      <c r="B182" s="3">
        <v>182392</v>
      </c>
      <c r="C182" s="18">
        <v>812</v>
      </c>
      <c r="D182" s="18">
        <v>812</v>
      </c>
      <c r="E182" s="19">
        <v>376.43101486431601</v>
      </c>
      <c r="F182" s="19">
        <v>403.58280429934098</v>
      </c>
      <c r="G182" s="12">
        <f>E182/Combined_Summary!$B$23</f>
        <v>1505.724059457264</v>
      </c>
      <c r="H182" s="12">
        <f>F182/Combined_Summary!$B$23</f>
        <v>1614.3312171973639</v>
      </c>
      <c r="I182" s="12">
        <f t="shared" si="4"/>
        <v>108.60715774009986</v>
      </c>
      <c r="J182" s="13">
        <f t="shared" si="5"/>
        <v>7.2129522708993005E-2</v>
      </c>
    </row>
    <row r="183" spans="1:10" x14ac:dyDescent="0.35">
      <c r="A183" s="3">
        <v>45348</v>
      </c>
      <c r="B183" s="3">
        <v>187756</v>
      </c>
      <c r="C183" s="18">
        <v>762</v>
      </c>
      <c r="D183" s="18">
        <v>762</v>
      </c>
      <c r="E183" s="19">
        <v>326.55084097354103</v>
      </c>
      <c r="F183" s="19">
        <v>362.95135727329199</v>
      </c>
      <c r="G183" s="12">
        <f>E183/Combined_Summary!$B$23</f>
        <v>1306.2033638941641</v>
      </c>
      <c r="H183" s="12">
        <f>F183/Combined_Summary!$B$23</f>
        <v>1451.805429093168</v>
      </c>
      <c r="I183" s="12">
        <f t="shared" si="4"/>
        <v>145.60206519900385</v>
      </c>
      <c r="J183" s="13">
        <f t="shared" si="5"/>
        <v>0.11146967556791665</v>
      </c>
    </row>
    <row r="184" spans="1:10" x14ac:dyDescent="0.35">
      <c r="A184" s="3">
        <v>45349</v>
      </c>
      <c r="B184" s="3">
        <v>187774</v>
      </c>
      <c r="C184" s="18">
        <v>426</v>
      </c>
      <c r="D184" s="18">
        <v>426</v>
      </c>
      <c r="E184" s="19">
        <v>372.10590667008199</v>
      </c>
      <c r="F184" s="19">
        <v>401.552178002299</v>
      </c>
      <c r="G184" s="12">
        <f>E184/Combined_Summary!$B$23</f>
        <v>1488.423626680328</v>
      </c>
      <c r="H184" s="12">
        <f>F184/Combined_Summary!$B$23</f>
        <v>1606.208712009196</v>
      </c>
      <c r="I184" s="12">
        <f t="shared" si="4"/>
        <v>117.78508532886804</v>
      </c>
      <c r="J184" s="13">
        <f t="shared" si="5"/>
        <v>7.9134114251845994E-2</v>
      </c>
    </row>
    <row r="185" spans="1:10" x14ac:dyDescent="0.35">
      <c r="A185" s="3">
        <v>45371</v>
      </c>
      <c r="B185" s="3">
        <v>181002</v>
      </c>
      <c r="C185" s="18">
        <v>197</v>
      </c>
      <c r="D185" s="18">
        <v>197</v>
      </c>
      <c r="E185" s="19">
        <v>244.70607575547299</v>
      </c>
      <c r="F185" s="19">
        <v>291.98550771335698</v>
      </c>
      <c r="G185" s="12">
        <f>E185/Combined_Summary!$B$23</f>
        <v>978.82430302189198</v>
      </c>
      <c r="H185" s="12">
        <f>F185/Combined_Summary!$B$23</f>
        <v>1167.9420308534279</v>
      </c>
      <c r="I185" s="12">
        <f t="shared" si="4"/>
        <v>189.11772783153594</v>
      </c>
      <c r="J185" s="13">
        <f t="shared" si="5"/>
        <v>0.19320906443340141</v>
      </c>
    </row>
    <row r="186" spans="1:10" x14ac:dyDescent="0.35">
      <c r="A186" s="3">
        <v>45372</v>
      </c>
      <c r="B186" s="3">
        <v>182479</v>
      </c>
      <c r="C186" s="18">
        <v>637</v>
      </c>
      <c r="D186" s="18">
        <v>637</v>
      </c>
      <c r="E186" s="19">
        <v>333.65482860906502</v>
      </c>
      <c r="F186" s="19">
        <v>365.25170033692899</v>
      </c>
      <c r="G186" s="12">
        <f>E186/Combined_Summary!$B$23</f>
        <v>1334.6193144362601</v>
      </c>
      <c r="H186" s="12">
        <f>F186/Combined_Summary!$B$23</f>
        <v>1461.006801347716</v>
      </c>
      <c r="I186" s="12">
        <f t="shared" si="4"/>
        <v>126.38748691145588</v>
      </c>
      <c r="J186" s="13">
        <f t="shared" si="5"/>
        <v>9.4699279071082262E-2</v>
      </c>
    </row>
    <row r="187" spans="1:10" x14ac:dyDescent="0.35">
      <c r="A187" s="3">
        <v>45373</v>
      </c>
      <c r="B187" s="3">
        <v>182438</v>
      </c>
      <c r="C187" s="18">
        <v>622</v>
      </c>
      <c r="D187" s="18">
        <v>622</v>
      </c>
      <c r="E187" s="19">
        <v>319.40614711356699</v>
      </c>
      <c r="F187" s="19">
        <v>349.77414404080997</v>
      </c>
      <c r="G187" s="12">
        <f>E187/Combined_Summary!$B$23</f>
        <v>1277.624588454268</v>
      </c>
      <c r="H187" s="12">
        <f>F187/Combined_Summary!$B$23</f>
        <v>1399.0965761632399</v>
      </c>
      <c r="I187" s="12">
        <f t="shared" si="4"/>
        <v>121.47198770897194</v>
      </c>
      <c r="J187" s="13">
        <f t="shared" si="5"/>
        <v>9.5076432315641821E-2</v>
      </c>
    </row>
    <row r="188" spans="1:10" x14ac:dyDescent="0.35">
      <c r="A188" s="3">
        <v>45374</v>
      </c>
      <c r="B188" s="3">
        <v>182395</v>
      </c>
      <c r="C188" s="18">
        <v>715</v>
      </c>
      <c r="D188" s="18">
        <v>715</v>
      </c>
      <c r="E188" s="19">
        <v>352.34974607454302</v>
      </c>
      <c r="F188" s="19">
        <v>380.29604351337099</v>
      </c>
      <c r="G188" s="12">
        <f>E188/Combined_Summary!$B$23</f>
        <v>1409.3989842981721</v>
      </c>
      <c r="H188" s="12">
        <f>F188/Combined_Summary!$B$23</f>
        <v>1521.184174053484</v>
      </c>
      <c r="I188" s="12">
        <f t="shared" si="4"/>
        <v>111.78518975531188</v>
      </c>
      <c r="J188" s="13">
        <f t="shared" si="5"/>
        <v>7.9314084230716772E-2</v>
      </c>
    </row>
    <row r="189" spans="1:10" x14ac:dyDescent="0.35">
      <c r="A189" s="3">
        <v>45375</v>
      </c>
      <c r="B189" s="3">
        <v>635446</v>
      </c>
      <c r="C189" s="18">
        <v>16</v>
      </c>
      <c r="D189" s="18">
        <v>16</v>
      </c>
      <c r="E189" s="19">
        <v>329.95430183410599</v>
      </c>
      <c r="F189" s="19">
        <v>348.27585029602102</v>
      </c>
      <c r="G189" s="12">
        <f>E189/Combined_Summary!$B$23</f>
        <v>1319.817207336424</v>
      </c>
      <c r="H189" s="12">
        <f>F189/Combined_Summary!$B$23</f>
        <v>1393.1034011840841</v>
      </c>
      <c r="I189" s="12">
        <f t="shared" si="4"/>
        <v>73.286193847660115</v>
      </c>
      <c r="J189" s="13">
        <f t="shared" si="5"/>
        <v>5.5527533237395746E-2</v>
      </c>
    </row>
    <row r="190" spans="1:10" x14ac:dyDescent="0.35">
      <c r="A190" s="3">
        <v>45387</v>
      </c>
      <c r="B190" s="3">
        <v>181011</v>
      </c>
      <c r="C190" s="18">
        <v>595</v>
      </c>
      <c r="D190" s="18">
        <v>595</v>
      </c>
      <c r="E190" s="19">
        <v>334.10976600326399</v>
      </c>
      <c r="F190" s="19">
        <v>362.048215901351</v>
      </c>
      <c r="G190" s="12">
        <f>E190/Combined_Summary!$B$23</f>
        <v>1336.4390640130559</v>
      </c>
      <c r="H190" s="12">
        <f>F190/Combined_Summary!$B$23</f>
        <v>1448.192863605404</v>
      </c>
      <c r="I190" s="12">
        <f t="shared" si="4"/>
        <v>111.75379959234806</v>
      </c>
      <c r="J190" s="13">
        <f t="shared" si="5"/>
        <v>8.362057246124939E-2</v>
      </c>
    </row>
    <row r="191" spans="1:10" x14ac:dyDescent="0.35">
      <c r="A191" s="3">
        <v>45388</v>
      </c>
      <c r="B191" s="3">
        <v>182506</v>
      </c>
      <c r="C191" s="18">
        <v>878</v>
      </c>
      <c r="D191" s="18">
        <v>878</v>
      </c>
      <c r="E191" s="19">
        <v>328.24519871253398</v>
      </c>
      <c r="F191" s="19">
        <v>354.06035666150802</v>
      </c>
      <c r="G191" s="12">
        <f>E191/Combined_Summary!$B$23</f>
        <v>1312.9807948501359</v>
      </c>
      <c r="H191" s="12">
        <f>F191/Combined_Summary!$B$23</f>
        <v>1416.2414266460321</v>
      </c>
      <c r="I191" s="12">
        <f t="shared" si="4"/>
        <v>103.26063179589619</v>
      </c>
      <c r="J191" s="13">
        <f t="shared" si="5"/>
        <v>7.8645957504414526E-2</v>
      </c>
    </row>
    <row r="192" spans="1:10" x14ac:dyDescent="0.35">
      <c r="A192" s="3">
        <v>45389</v>
      </c>
      <c r="B192" s="3">
        <v>61533</v>
      </c>
      <c r="C192" s="18">
        <v>835</v>
      </c>
      <c r="D192" s="18">
        <v>835</v>
      </c>
      <c r="E192" s="19">
        <v>349.806247222352</v>
      </c>
      <c r="F192" s="19">
        <v>379.62222015929098</v>
      </c>
      <c r="G192" s="12">
        <f>E192/Combined_Summary!$B$23</f>
        <v>1399.224988889408</v>
      </c>
      <c r="H192" s="12">
        <f>F192/Combined_Summary!$B$23</f>
        <v>1518.4888806371639</v>
      </c>
      <c r="I192" s="12">
        <f t="shared" si="4"/>
        <v>119.26389174775591</v>
      </c>
      <c r="J192" s="13">
        <f t="shared" si="5"/>
        <v>8.5235678818470773E-2</v>
      </c>
    </row>
    <row r="193" spans="1:10" x14ac:dyDescent="0.35">
      <c r="A193" s="3">
        <v>45405</v>
      </c>
      <c r="B193" s="3">
        <v>635449</v>
      </c>
      <c r="C193" s="18">
        <v>16</v>
      </c>
      <c r="D193" s="18">
        <v>16</v>
      </c>
      <c r="E193" s="19">
        <v>321.85251522064198</v>
      </c>
      <c r="F193" s="19">
        <v>363.55884361267101</v>
      </c>
      <c r="G193" s="12">
        <f>E193/Combined_Summary!$B$23</f>
        <v>1287.4100608825679</v>
      </c>
      <c r="H193" s="12">
        <f>F193/Combined_Summary!$B$23</f>
        <v>1454.235374450684</v>
      </c>
      <c r="I193" s="12">
        <f t="shared" si="4"/>
        <v>166.82531356811614</v>
      </c>
      <c r="J193" s="13">
        <f t="shared" si="5"/>
        <v>0.12958211112141779</v>
      </c>
    </row>
    <row r="194" spans="1:10" x14ac:dyDescent="0.35">
      <c r="A194" s="3">
        <v>45406</v>
      </c>
      <c r="B194" s="3">
        <v>182419</v>
      </c>
      <c r="C194" s="18">
        <v>979</v>
      </c>
      <c r="D194" s="18">
        <v>979</v>
      </c>
      <c r="E194" s="19">
        <v>296.29669419348102</v>
      </c>
      <c r="F194" s="19">
        <v>335.02381577457697</v>
      </c>
      <c r="G194" s="12">
        <f>E194/Combined_Summary!$B$23</f>
        <v>1185.1867767739241</v>
      </c>
      <c r="H194" s="12">
        <f>F194/Combined_Summary!$B$23</f>
        <v>1340.0952630983079</v>
      </c>
      <c r="I194" s="12">
        <f t="shared" ref="I194:I257" si="6">H194-G194</f>
        <v>154.90848632438383</v>
      </c>
      <c r="J194" s="13">
        <f t="shared" ref="J194:J257" si="7">IF(G194=0,"",I194/G194)</f>
        <v>0.13070385981359361</v>
      </c>
    </row>
    <row r="195" spans="1:10" x14ac:dyDescent="0.35">
      <c r="A195" s="3">
        <v>45407</v>
      </c>
      <c r="B195" s="3">
        <v>187772</v>
      </c>
      <c r="C195" s="18">
        <v>912</v>
      </c>
      <c r="D195" s="18">
        <v>912</v>
      </c>
      <c r="E195" s="19">
        <v>344.21955759065202</v>
      </c>
      <c r="F195" s="19">
        <v>374.24988066522701</v>
      </c>
      <c r="G195" s="12">
        <f>E195/Combined_Summary!$B$23</f>
        <v>1376.8782303626081</v>
      </c>
      <c r="H195" s="12">
        <f>F195/Combined_Summary!$B$23</f>
        <v>1496.999522660908</v>
      </c>
      <c r="I195" s="12">
        <f t="shared" si="6"/>
        <v>120.12129229829998</v>
      </c>
      <c r="J195" s="13">
        <f t="shared" si="7"/>
        <v>8.724176884303371E-2</v>
      </c>
    </row>
    <row r="196" spans="1:10" x14ac:dyDescent="0.35">
      <c r="A196" s="3">
        <v>45419</v>
      </c>
      <c r="B196" s="3">
        <v>181008</v>
      </c>
      <c r="C196" s="18">
        <v>600</v>
      </c>
      <c r="D196" s="18">
        <v>600</v>
      </c>
      <c r="E196" s="19">
        <v>351.19867531458499</v>
      </c>
      <c r="F196" s="19">
        <v>378.54442952474</v>
      </c>
      <c r="G196" s="12">
        <f>E196/Combined_Summary!$B$23</f>
        <v>1404.79470125834</v>
      </c>
      <c r="H196" s="12">
        <f>F196/Combined_Summary!$B$23</f>
        <v>1514.17771809896</v>
      </c>
      <c r="I196" s="12">
        <f t="shared" si="6"/>
        <v>109.38301684062003</v>
      </c>
      <c r="J196" s="13">
        <f t="shared" si="7"/>
        <v>7.7864058529435357E-2</v>
      </c>
    </row>
    <row r="197" spans="1:10" x14ac:dyDescent="0.35">
      <c r="A197" s="3">
        <v>45420</v>
      </c>
      <c r="B197" s="3">
        <v>182399</v>
      </c>
      <c r="C197" s="18">
        <v>544</v>
      </c>
      <c r="D197" s="18">
        <v>544</v>
      </c>
      <c r="E197" s="19">
        <v>336.33096952999301</v>
      </c>
      <c r="F197" s="19">
        <v>367.93815478156603</v>
      </c>
      <c r="G197" s="12">
        <f>E197/Combined_Summary!$B$23</f>
        <v>1345.3238781199721</v>
      </c>
      <c r="H197" s="12">
        <f>F197/Combined_Summary!$B$23</f>
        <v>1471.7526191262641</v>
      </c>
      <c r="I197" s="12">
        <f t="shared" si="6"/>
        <v>126.42874100629206</v>
      </c>
      <c r="J197" s="13">
        <f t="shared" si="7"/>
        <v>9.3976434271701464E-2</v>
      </c>
    </row>
    <row r="198" spans="1:10" x14ac:dyDescent="0.35">
      <c r="A198" s="3">
        <v>45421</v>
      </c>
      <c r="B198" s="3">
        <v>182409</v>
      </c>
      <c r="C198" s="18">
        <v>619</v>
      </c>
      <c r="D198" s="18">
        <v>619</v>
      </c>
      <c r="E198" s="19">
        <v>352.38443029523899</v>
      </c>
      <c r="F198" s="19">
        <v>378.47462416542601</v>
      </c>
      <c r="G198" s="12">
        <f>E198/Combined_Summary!$B$23</f>
        <v>1409.5377211809559</v>
      </c>
      <c r="H198" s="12">
        <f>F198/Combined_Summary!$B$23</f>
        <v>1513.898496661704</v>
      </c>
      <c r="I198" s="12">
        <f t="shared" si="6"/>
        <v>104.36077548074809</v>
      </c>
      <c r="J198" s="13">
        <f t="shared" si="7"/>
        <v>7.4039008614335822E-2</v>
      </c>
    </row>
    <row r="199" spans="1:10" x14ac:dyDescent="0.35">
      <c r="A199" s="3">
        <v>45431</v>
      </c>
      <c r="B199" s="3">
        <v>180993</v>
      </c>
      <c r="C199" s="18">
        <v>561</v>
      </c>
      <c r="D199" s="18">
        <v>561</v>
      </c>
      <c r="E199" s="19">
        <v>324.515573164996</v>
      </c>
      <c r="F199" s="19">
        <v>347.97146467729101</v>
      </c>
      <c r="G199" s="12">
        <f>E199/Combined_Summary!$B$23</f>
        <v>1298.062292659984</v>
      </c>
      <c r="H199" s="12">
        <f>F199/Combined_Summary!$B$23</f>
        <v>1391.885858709164</v>
      </c>
      <c r="I199" s="12">
        <f t="shared" si="6"/>
        <v>93.823566049180045</v>
      </c>
      <c r="J199" s="13">
        <f t="shared" si="7"/>
        <v>7.227970997980164E-2</v>
      </c>
    </row>
    <row r="200" spans="1:10" x14ac:dyDescent="0.35">
      <c r="A200" s="3">
        <v>45432</v>
      </c>
      <c r="B200" s="3">
        <v>182502</v>
      </c>
      <c r="C200" s="18">
        <v>582</v>
      </c>
      <c r="D200" s="18">
        <v>582</v>
      </c>
      <c r="E200" s="19">
        <v>359.09766140180801</v>
      </c>
      <c r="F200" s="19">
        <v>391.42566948330301</v>
      </c>
      <c r="G200" s="12">
        <f>E200/Combined_Summary!$B$23</f>
        <v>1436.390645607232</v>
      </c>
      <c r="H200" s="12">
        <f>F200/Combined_Summary!$B$23</f>
        <v>1565.702677933212</v>
      </c>
      <c r="I200" s="12">
        <f t="shared" si="6"/>
        <v>129.31203232598</v>
      </c>
      <c r="J200" s="13">
        <f t="shared" si="7"/>
        <v>9.0025671443518432E-2</v>
      </c>
    </row>
    <row r="201" spans="1:10" x14ac:dyDescent="0.35">
      <c r="A201" s="3">
        <v>45450</v>
      </c>
      <c r="B201" s="3">
        <v>182430</v>
      </c>
      <c r="C201" s="18">
        <v>501</v>
      </c>
      <c r="D201" s="18">
        <v>501</v>
      </c>
      <c r="E201" s="19">
        <v>284.38646803073499</v>
      </c>
      <c r="F201" s="19">
        <v>320.588245262405</v>
      </c>
      <c r="G201" s="12">
        <f>E201/Combined_Summary!$B$23</f>
        <v>1137.54587212294</v>
      </c>
      <c r="H201" s="12">
        <f>F201/Combined_Summary!$B$23</f>
        <v>1282.35298104962</v>
      </c>
      <c r="I201" s="12">
        <f t="shared" si="6"/>
        <v>144.80710892668003</v>
      </c>
      <c r="J201" s="13">
        <f t="shared" si="7"/>
        <v>0.12729781934546025</v>
      </c>
    </row>
    <row r="202" spans="1:10" x14ac:dyDescent="0.35">
      <c r="A202" s="3">
        <v>45451</v>
      </c>
      <c r="B202" s="3">
        <v>182439</v>
      </c>
      <c r="C202" s="18">
        <v>249</v>
      </c>
      <c r="D202" s="18">
        <v>249</v>
      </c>
      <c r="E202" s="19">
        <v>199.65778163925199</v>
      </c>
      <c r="F202" s="19">
        <v>251.02193193550599</v>
      </c>
      <c r="G202" s="12">
        <f>E202/Combined_Summary!$B$23</f>
        <v>798.63112655700797</v>
      </c>
      <c r="H202" s="12">
        <f>F202/Combined_Summary!$B$23</f>
        <v>1004.087727742024</v>
      </c>
      <c r="I202" s="12">
        <f t="shared" si="6"/>
        <v>205.45660118501598</v>
      </c>
      <c r="J202" s="13">
        <f t="shared" si="7"/>
        <v>0.2572609485818107</v>
      </c>
    </row>
    <row r="203" spans="1:10" x14ac:dyDescent="0.35">
      <c r="A203" s="3">
        <v>47971</v>
      </c>
      <c r="B203" s="3">
        <v>187558</v>
      </c>
      <c r="C203" s="18">
        <v>41</v>
      </c>
      <c r="D203" s="18">
        <v>41</v>
      </c>
      <c r="E203" s="19">
        <v>356.07347739615102</v>
      </c>
      <c r="F203" s="19">
        <v>405.31845651021803</v>
      </c>
      <c r="G203" s="12">
        <f>E203/Combined_Summary!$B$23</f>
        <v>1424.2939095846041</v>
      </c>
      <c r="H203" s="12">
        <f>F203/Combined_Summary!$B$23</f>
        <v>1621.2738260408721</v>
      </c>
      <c r="I203" s="12">
        <f t="shared" si="6"/>
        <v>196.97991645626803</v>
      </c>
      <c r="J203" s="13">
        <f t="shared" si="7"/>
        <v>0.1383000482770563</v>
      </c>
    </row>
    <row r="204" spans="1:10" x14ac:dyDescent="0.35">
      <c r="A204" s="3">
        <v>47986</v>
      </c>
      <c r="B204" s="3">
        <v>187518</v>
      </c>
      <c r="C204" s="18">
        <v>350</v>
      </c>
      <c r="D204" s="18">
        <v>350</v>
      </c>
      <c r="E204" s="19">
        <v>319.738060477121</v>
      </c>
      <c r="F204" s="19">
        <v>347.63246030534998</v>
      </c>
      <c r="G204" s="12">
        <f>E204/Combined_Summary!$B$23</f>
        <v>1278.952241908484</v>
      </c>
      <c r="H204" s="12">
        <f>F204/Combined_Summary!$B$23</f>
        <v>1390.5298412213999</v>
      </c>
      <c r="I204" s="12">
        <f t="shared" si="6"/>
        <v>111.57759931291594</v>
      </c>
      <c r="J204" s="13">
        <f t="shared" si="7"/>
        <v>8.7241411881351483E-2</v>
      </c>
    </row>
    <row r="205" spans="1:10" x14ac:dyDescent="0.35">
      <c r="A205" s="3">
        <v>48001</v>
      </c>
      <c r="B205" s="3">
        <v>187499</v>
      </c>
      <c r="C205" s="18">
        <v>343</v>
      </c>
      <c r="D205" s="18">
        <v>343</v>
      </c>
      <c r="E205" s="19">
        <v>355.70261972499702</v>
      </c>
      <c r="F205" s="19">
        <v>385.56415715787602</v>
      </c>
      <c r="G205" s="12">
        <f>E205/Combined_Summary!$B$23</f>
        <v>1422.8104788999881</v>
      </c>
      <c r="H205" s="12">
        <f>F205/Combined_Summary!$B$23</f>
        <v>1542.2566286315041</v>
      </c>
      <c r="I205" s="12">
        <f t="shared" si="6"/>
        <v>119.44614973151602</v>
      </c>
      <c r="J205" s="13">
        <f t="shared" si="7"/>
        <v>8.3950850449079448E-2</v>
      </c>
    </row>
    <row r="206" spans="1:10" x14ac:dyDescent="0.35">
      <c r="A206" s="3">
        <v>48002</v>
      </c>
      <c r="B206" s="3">
        <v>187555</v>
      </c>
      <c r="C206" s="18">
        <v>230</v>
      </c>
      <c r="D206" s="18">
        <v>230</v>
      </c>
      <c r="E206" s="19">
        <v>368.98640921219499</v>
      </c>
      <c r="F206" s="19">
        <v>402.563067162555</v>
      </c>
      <c r="G206" s="12">
        <f>E206/Combined_Summary!$B$23</f>
        <v>1475.9456368487799</v>
      </c>
      <c r="H206" s="12">
        <f>F206/Combined_Summary!$B$23</f>
        <v>1610.25226865022</v>
      </c>
      <c r="I206" s="12">
        <f t="shared" si="6"/>
        <v>134.30663180144006</v>
      </c>
      <c r="J206" s="13">
        <f t="shared" si="7"/>
        <v>9.0997004529375244E-2</v>
      </c>
    </row>
    <row r="207" spans="1:10" x14ac:dyDescent="0.35">
      <c r="A207" s="3">
        <v>48003</v>
      </c>
      <c r="B207" s="3">
        <v>187615</v>
      </c>
      <c r="C207" s="18">
        <v>728</v>
      </c>
      <c r="D207" s="18">
        <v>728</v>
      </c>
      <c r="E207" s="19">
        <v>290.21509360219102</v>
      </c>
      <c r="F207" s="19">
        <v>326.73173565917</v>
      </c>
      <c r="G207" s="12">
        <f>E207/Combined_Summary!$B$23</f>
        <v>1160.8603744087641</v>
      </c>
      <c r="H207" s="12">
        <f>F207/Combined_Summary!$B$23</f>
        <v>1306.92694263668</v>
      </c>
      <c r="I207" s="12">
        <f t="shared" si="6"/>
        <v>146.06656822791592</v>
      </c>
      <c r="J207" s="13">
        <f t="shared" si="7"/>
        <v>0.12582612986709005</v>
      </c>
    </row>
    <row r="208" spans="1:10" x14ac:dyDescent="0.35">
      <c r="A208" s="3">
        <v>48022</v>
      </c>
      <c r="B208" s="3">
        <v>182279</v>
      </c>
      <c r="C208" s="18">
        <v>566</v>
      </c>
      <c r="D208" s="18">
        <v>566</v>
      </c>
      <c r="E208" s="19">
        <v>272.11568976628098</v>
      </c>
      <c r="F208" s="19">
        <v>323.38359121046301</v>
      </c>
      <c r="G208" s="12">
        <f>E208/Combined_Summary!$B$23</f>
        <v>1088.4627590651239</v>
      </c>
      <c r="H208" s="12">
        <f>F208/Combined_Summary!$B$23</f>
        <v>1293.534364841852</v>
      </c>
      <c r="I208" s="12">
        <f t="shared" si="6"/>
        <v>205.07160577672812</v>
      </c>
      <c r="J208" s="13">
        <f t="shared" si="7"/>
        <v>0.18840479756318282</v>
      </c>
    </row>
    <row r="209" spans="1:10" x14ac:dyDescent="0.35">
      <c r="A209" s="3">
        <v>48023</v>
      </c>
      <c r="B209" s="3">
        <v>187528</v>
      </c>
      <c r="C209" s="18">
        <v>368</v>
      </c>
      <c r="D209" s="18">
        <v>368</v>
      </c>
      <c r="E209" s="19">
        <v>366.84988755765198</v>
      </c>
      <c r="F209" s="19">
        <v>399.31114493245701</v>
      </c>
      <c r="G209" s="12">
        <f>E209/Combined_Summary!$B$23</f>
        <v>1467.3995502306079</v>
      </c>
      <c r="H209" s="12">
        <f>F209/Combined_Summary!$B$23</f>
        <v>1597.244579729828</v>
      </c>
      <c r="I209" s="12">
        <f t="shared" si="6"/>
        <v>129.84502949922012</v>
      </c>
      <c r="J209" s="13">
        <f t="shared" si="7"/>
        <v>8.8486485823724315E-2</v>
      </c>
    </row>
    <row r="210" spans="1:10" x14ac:dyDescent="0.35">
      <c r="A210" s="3">
        <v>48024</v>
      </c>
      <c r="B210" s="3">
        <v>187573</v>
      </c>
      <c r="C210" s="18">
        <v>569</v>
      </c>
      <c r="D210" s="18">
        <v>569</v>
      </c>
      <c r="E210" s="19">
        <v>333.97382199198597</v>
      </c>
      <c r="F210" s="19">
        <v>374.02075702151001</v>
      </c>
      <c r="G210" s="12">
        <f>E210/Combined_Summary!$B$23</f>
        <v>1335.8952879679439</v>
      </c>
      <c r="H210" s="12">
        <f>F210/Combined_Summary!$B$23</f>
        <v>1496.08302808604</v>
      </c>
      <c r="I210" s="12">
        <f t="shared" si="6"/>
        <v>160.18774011809614</v>
      </c>
      <c r="J210" s="13">
        <f t="shared" si="7"/>
        <v>0.11991040133224873</v>
      </c>
    </row>
    <row r="211" spans="1:10" x14ac:dyDescent="0.35">
      <c r="A211" s="3">
        <v>48041</v>
      </c>
      <c r="B211" s="3">
        <v>182268</v>
      </c>
      <c r="C211" s="18">
        <v>14</v>
      </c>
      <c r="D211" s="18">
        <v>14</v>
      </c>
      <c r="E211" s="19">
        <v>257.16063581194197</v>
      </c>
      <c r="F211" s="19">
        <v>277.94231305803601</v>
      </c>
      <c r="G211" s="12">
        <f>E211/Combined_Summary!$B$23</f>
        <v>1028.6425432477679</v>
      </c>
      <c r="H211" s="12">
        <f>F211/Combined_Summary!$B$23</f>
        <v>1111.769252232144</v>
      </c>
      <c r="I211" s="12">
        <f t="shared" si="6"/>
        <v>83.126708984376137</v>
      </c>
      <c r="J211" s="13">
        <f t="shared" si="7"/>
        <v>8.0812046449019473E-2</v>
      </c>
    </row>
    <row r="212" spans="1:10" x14ac:dyDescent="0.35">
      <c r="A212" s="3">
        <v>48042</v>
      </c>
      <c r="B212" s="3">
        <v>633726</v>
      </c>
      <c r="C212" s="18">
        <v>16</v>
      </c>
      <c r="D212" s="18">
        <v>16</v>
      </c>
      <c r="E212" s="19">
        <v>272.64746570587198</v>
      </c>
      <c r="F212" s="19">
        <v>314.63559341430698</v>
      </c>
      <c r="G212" s="12">
        <f>E212/Combined_Summary!$B$23</f>
        <v>1090.5898628234879</v>
      </c>
      <c r="H212" s="12">
        <f>F212/Combined_Summary!$B$23</f>
        <v>1258.5423736572279</v>
      </c>
      <c r="I212" s="12">
        <f t="shared" si="6"/>
        <v>167.95251083374001</v>
      </c>
      <c r="J212" s="13">
        <f t="shared" si="7"/>
        <v>0.15400153307763062</v>
      </c>
    </row>
    <row r="213" spans="1:10" x14ac:dyDescent="0.35">
      <c r="A213" s="3">
        <v>48043</v>
      </c>
      <c r="B213" s="3">
        <v>187560</v>
      </c>
      <c r="C213" s="18">
        <v>341</v>
      </c>
      <c r="D213" s="18">
        <v>341</v>
      </c>
      <c r="E213" s="19">
        <v>338.80493665230898</v>
      </c>
      <c r="F213" s="19">
        <v>369.89010078676301</v>
      </c>
      <c r="G213" s="12">
        <f>E213/Combined_Summary!$B$23</f>
        <v>1355.2197466092359</v>
      </c>
      <c r="H213" s="12">
        <f>F213/Combined_Summary!$B$23</f>
        <v>1479.5604031470521</v>
      </c>
      <c r="I213" s="12">
        <f t="shared" si="6"/>
        <v>124.34065653781613</v>
      </c>
      <c r="J213" s="13">
        <f t="shared" si="7"/>
        <v>9.1749442737177375E-2</v>
      </c>
    </row>
    <row r="214" spans="1:10" x14ac:dyDescent="0.35">
      <c r="A214" s="3">
        <v>48053</v>
      </c>
      <c r="B214" s="3">
        <v>182280</v>
      </c>
      <c r="C214" s="18">
        <v>444</v>
      </c>
      <c r="D214" s="18">
        <v>444</v>
      </c>
      <c r="E214" s="19">
        <v>344.10097984795101</v>
      </c>
      <c r="F214" s="19">
        <v>365.68347599270101</v>
      </c>
      <c r="G214" s="12">
        <f>E214/Combined_Summary!$B$23</f>
        <v>1376.403919391804</v>
      </c>
      <c r="H214" s="12">
        <f>F214/Combined_Summary!$B$23</f>
        <v>1462.733903970804</v>
      </c>
      <c r="I214" s="12">
        <f t="shared" si="6"/>
        <v>86.329984578999984</v>
      </c>
      <c r="J214" s="13">
        <f t="shared" si="7"/>
        <v>6.272140275301373E-2</v>
      </c>
    </row>
    <row r="215" spans="1:10" x14ac:dyDescent="0.35">
      <c r="A215" s="3">
        <v>48054</v>
      </c>
      <c r="B215" s="3">
        <v>182553</v>
      </c>
      <c r="C215" s="18">
        <v>396</v>
      </c>
      <c r="D215" s="18">
        <v>396</v>
      </c>
      <c r="E215" s="19">
        <v>350.59901148863503</v>
      </c>
      <c r="F215" s="19">
        <v>373.01428665777701</v>
      </c>
      <c r="G215" s="12">
        <f>E215/Combined_Summary!$B$23</f>
        <v>1402.3960459545401</v>
      </c>
      <c r="H215" s="12">
        <f>F215/Combined_Summary!$B$23</f>
        <v>1492.057146631108</v>
      </c>
      <c r="I215" s="12">
        <f t="shared" si="6"/>
        <v>89.661100676567912</v>
      </c>
      <c r="J215" s="13">
        <f t="shared" si="7"/>
        <v>6.3934222386900788E-2</v>
      </c>
    </row>
    <row r="216" spans="1:10" x14ac:dyDescent="0.35">
      <c r="A216" s="3">
        <v>48055</v>
      </c>
      <c r="B216" s="3">
        <v>187435</v>
      </c>
      <c r="C216" s="18">
        <v>602</v>
      </c>
      <c r="D216" s="18">
        <v>602</v>
      </c>
      <c r="E216" s="19">
        <v>379.77724670967802</v>
      </c>
      <c r="F216" s="19">
        <v>413.14344710289799</v>
      </c>
      <c r="G216" s="12">
        <f>E216/Combined_Summary!$B$23</f>
        <v>1519.1089868387121</v>
      </c>
      <c r="H216" s="12">
        <f>F216/Combined_Summary!$B$23</f>
        <v>1652.573788411592</v>
      </c>
      <c r="I216" s="12">
        <f t="shared" si="6"/>
        <v>133.46480157287988</v>
      </c>
      <c r="J216" s="13">
        <f t="shared" si="7"/>
        <v>8.7857291826455505E-2</v>
      </c>
    </row>
    <row r="217" spans="1:10" x14ac:dyDescent="0.35">
      <c r="A217" s="3">
        <v>48056</v>
      </c>
      <c r="B217" s="3">
        <v>187440</v>
      </c>
      <c r="C217" s="18">
        <v>940</v>
      </c>
      <c r="D217" s="18">
        <v>940</v>
      </c>
      <c r="E217" s="19">
        <v>336.73254861222898</v>
      </c>
      <c r="F217" s="19">
        <v>361.78654647177802</v>
      </c>
      <c r="G217" s="12">
        <f>E217/Combined_Summary!$B$23</f>
        <v>1346.9301944489159</v>
      </c>
      <c r="H217" s="12">
        <f>F217/Combined_Summary!$B$23</f>
        <v>1447.1461858871121</v>
      </c>
      <c r="I217" s="12">
        <f t="shared" si="6"/>
        <v>100.21599143819617</v>
      </c>
      <c r="J217" s="13">
        <f t="shared" si="7"/>
        <v>7.4403255529659137E-2</v>
      </c>
    </row>
    <row r="218" spans="1:10" x14ac:dyDescent="0.35">
      <c r="A218" s="3">
        <v>48057</v>
      </c>
      <c r="B218" s="3">
        <v>182448</v>
      </c>
      <c r="C218" s="18">
        <v>401</v>
      </c>
      <c r="D218" s="18">
        <v>401</v>
      </c>
      <c r="E218" s="19">
        <v>221.07516515641399</v>
      </c>
      <c r="F218" s="19">
        <v>273.55315216521097</v>
      </c>
      <c r="G218" s="12">
        <f>E218/Combined_Summary!$B$23</f>
        <v>884.30066062565595</v>
      </c>
      <c r="H218" s="12">
        <f>F218/Combined_Summary!$B$23</f>
        <v>1094.2126086608439</v>
      </c>
      <c r="I218" s="12">
        <f t="shared" si="6"/>
        <v>209.91194803518795</v>
      </c>
      <c r="J218" s="13">
        <f t="shared" si="7"/>
        <v>0.23737621985566776</v>
      </c>
    </row>
    <row r="219" spans="1:10" x14ac:dyDescent="0.35">
      <c r="A219" s="3">
        <v>48065</v>
      </c>
      <c r="B219" s="3">
        <v>182297</v>
      </c>
      <c r="C219" s="18">
        <v>678</v>
      </c>
      <c r="D219" s="18">
        <v>678</v>
      </c>
      <c r="E219" s="19">
        <v>306.10235693602402</v>
      </c>
      <c r="F219" s="19">
        <v>337.62784331105098</v>
      </c>
      <c r="G219" s="12">
        <f>E219/Combined_Summary!$B$23</f>
        <v>1224.4094277440961</v>
      </c>
      <c r="H219" s="12">
        <f>F219/Combined_Summary!$B$23</f>
        <v>1350.5113732442039</v>
      </c>
      <c r="I219" s="12">
        <f t="shared" si="6"/>
        <v>126.10194550010783</v>
      </c>
      <c r="J219" s="13">
        <f t="shared" si="7"/>
        <v>0.10299001513933408</v>
      </c>
    </row>
    <row r="220" spans="1:10" x14ac:dyDescent="0.35">
      <c r="A220" s="3">
        <v>48066</v>
      </c>
      <c r="B220" s="3">
        <v>187438</v>
      </c>
      <c r="C220" s="18">
        <v>631</v>
      </c>
      <c r="D220" s="18">
        <v>631</v>
      </c>
      <c r="E220" s="19">
        <v>345.47603347222099</v>
      </c>
      <c r="F220" s="19">
        <v>379.138454769757</v>
      </c>
      <c r="G220" s="12">
        <f>E220/Combined_Summary!$B$23</f>
        <v>1381.904133888884</v>
      </c>
      <c r="H220" s="12">
        <f>F220/Combined_Summary!$B$23</f>
        <v>1516.553819079028</v>
      </c>
      <c r="I220" s="12">
        <f t="shared" si="6"/>
        <v>134.64968519014406</v>
      </c>
      <c r="J220" s="13">
        <f t="shared" si="7"/>
        <v>9.7437790283773015E-2</v>
      </c>
    </row>
    <row r="221" spans="1:10" x14ac:dyDescent="0.35">
      <c r="A221" s="3">
        <v>48067</v>
      </c>
      <c r="B221" s="3">
        <v>187732</v>
      </c>
      <c r="C221" s="18">
        <v>478</v>
      </c>
      <c r="D221" s="18">
        <v>478</v>
      </c>
      <c r="E221" s="19">
        <v>322.88626219936998</v>
      </c>
      <c r="F221" s="19">
        <v>346.75525116222201</v>
      </c>
      <c r="G221" s="12">
        <f>E221/Combined_Summary!$B$23</f>
        <v>1291.5450487974799</v>
      </c>
      <c r="H221" s="12">
        <f>F221/Combined_Summary!$B$23</f>
        <v>1387.021004648888</v>
      </c>
      <c r="I221" s="12">
        <f t="shared" si="6"/>
        <v>95.475955851408116</v>
      </c>
      <c r="J221" s="13">
        <f t="shared" si="7"/>
        <v>7.3923829401307373E-2</v>
      </c>
    </row>
    <row r="222" spans="1:10" x14ac:dyDescent="0.35">
      <c r="A222" s="3">
        <v>48068</v>
      </c>
      <c r="B222" s="3">
        <v>187720</v>
      </c>
      <c r="C222" s="18">
        <v>244</v>
      </c>
      <c r="D222" s="18">
        <v>244</v>
      </c>
      <c r="E222" s="19">
        <v>355.77497257170103</v>
      </c>
      <c r="F222" s="19">
        <v>377.41417737866999</v>
      </c>
      <c r="G222" s="12">
        <f>E222/Combined_Summary!$B$23</f>
        <v>1423.0998902868041</v>
      </c>
      <c r="H222" s="12">
        <f>F222/Combined_Summary!$B$23</f>
        <v>1509.65670951468</v>
      </c>
      <c r="I222" s="12">
        <f t="shared" si="6"/>
        <v>86.556819227875849</v>
      </c>
      <c r="J222" s="13">
        <f t="shared" si="7"/>
        <v>6.0822729183424809E-2</v>
      </c>
    </row>
    <row r="223" spans="1:10" x14ac:dyDescent="0.35">
      <c r="A223" s="3">
        <v>48079</v>
      </c>
      <c r="B223" s="3">
        <v>182515</v>
      </c>
      <c r="C223" s="18">
        <v>527</v>
      </c>
      <c r="D223" s="18">
        <v>527</v>
      </c>
      <c r="E223" s="19">
        <v>342.622742712611</v>
      </c>
      <c r="F223" s="19">
        <v>374.55518244068401</v>
      </c>
      <c r="G223" s="12">
        <f>E223/Combined_Summary!$B$23</f>
        <v>1370.490970850444</v>
      </c>
      <c r="H223" s="12">
        <f>F223/Combined_Summary!$B$23</f>
        <v>1498.220729762736</v>
      </c>
      <c r="I223" s="12">
        <f t="shared" si="6"/>
        <v>127.72975891229203</v>
      </c>
      <c r="J223" s="13">
        <f t="shared" si="7"/>
        <v>9.320000031304887E-2</v>
      </c>
    </row>
    <row r="224" spans="1:10" x14ac:dyDescent="0.35">
      <c r="A224" s="3">
        <v>48080</v>
      </c>
      <c r="B224" s="3">
        <v>188659</v>
      </c>
      <c r="C224" s="18">
        <v>318</v>
      </c>
      <c r="D224" s="18">
        <v>318</v>
      </c>
      <c r="E224" s="19">
        <v>376.77913471437898</v>
      </c>
      <c r="F224" s="19">
        <v>403.22881453892001</v>
      </c>
      <c r="G224" s="12">
        <f>E224/Combined_Summary!$B$23</f>
        <v>1507.1165388575159</v>
      </c>
      <c r="H224" s="12">
        <f>F224/Combined_Summary!$B$23</f>
        <v>1612.91525815568</v>
      </c>
      <c r="I224" s="12">
        <f t="shared" si="6"/>
        <v>105.79871929816409</v>
      </c>
      <c r="J224" s="13">
        <f t="shared" si="7"/>
        <v>7.0199428226277588E-2</v>
      </c>
    </row>
    <row r="225" spans="1:10" x14ac:dyDescent="0.35">
      <c r="A225" s="3">
        <v>48081</v>
      </c>
      <c r="B225" s="3">
        <v>187721</v>
      </c>
      <c r="C225" s="18">
        <v>411</v>
      </c>
      <c r="D225" s="18">
        <v>411</v>
      </c>
      <c r="E225" s="19">
        <v>366.690887915247</v>
      </c>
      <c r="F225" s="19">
        <v>383.70967345226097</v>
      </c>
      <c r="G225" s="12">
        <f>E225/Combined_Summary!$B$23</f>
        <v>1466.763551660988</v>
      </c>
      <c r="H225" s="12">
        <f>F225/Combined_Summary!$B$23</f>
        <v>1534.8386938090439</v>
      </c>
      <c r="I225" s="12">
        <f t="shared" si="6"/>
        <v>68.075142148055875</v>
      </c>
      <c r="J225" s="13">
        <f t="shared" si="7"/>
        <v>4.641180377775711E-2</v>
      </c>
    </row>
    <row r="226" spans="1:10" x14ac:dyDescent="0.35">
      <c r="A226" s="3">
        <v>48093</v>
      </c>
      <c r="B226" s="3">
        <v>635442</v>
      </c>
      <c r="C226" s="18">
        <v>16</v>
      </c>
      <c r="D226" s="18">
        <v>16</v>
      </c>
      <c r="E226" s="19">
        <v>340.07378959655802</v>
      </c>
      <c r="F226" s="19">
        <v>355.753149032593</v>
      </c>
      <c r="G226" s="12">
        <f>E226/Combined_Summary!$B$23</f>
        <v>1360.2951583862321</v>
      </c>
      <c r="H226" s="12">
        <f>F226/Combined_Summary!$B$23</f>
        <v>1423.012596130372</v>
      </c>
      <c r="I226" s="12">
        <f t="shared" si="6"/>
        <v>62.717437744139943</v>
      </c>
      <c r="J226" s="13">
        <f t="shared" si="7"/>
        <v>4.6105756796594011E-2</v>
      </c>
    </row>
    <row r="227" spans="1:10" x14ac:dyDescent="0.35">
      <c r="A227" s="3">
        <v>48094</v>
      </c>
      <c r="B227" s="3">
        <v>180974</v>
      </c>
      <c r="C227" s="18">
        <v>647</v>
      </c>
      <c r="D227" s="18">
        <v>647</v>
      </c>
      <c r="E227" s="19">
        <v>336.12561664846601</v>
      </c>
      <c r="F227" s="19">
        <v>358.54933034433998</v>
      </c>
      <c r="G227" s="12">
        <f>E227/Combined_Summary!$B$23</f>
        <v>1344.502466593864</v>
      </c>
      <c r="H227" s="12">
        <f>F227/Combined_Summary!$B$23</f>
        <v>1434.1973213773599</v>
      </c>
      <c r="I227" s="12">
        <f t="shared" si="6"/>
        <v>89.694854783495884</v>
      </c>
      <c r="J227" s="13">
        <f t="shared" si="7"/>
        <v>6.671230214305747E-2</v>
      </c>
    </row>
    <row r="228" spans="1:10" x14ac:dyDescent="0.35">
      <c r="A228" s="3">
        <v>48095</v>
      </c>
      <c r="B228" s="3">
        <v>188665</v>
      </c>
      <c r="C228" s="18">
        <v>698</v>
      </c>
      <c r="D228" s="18">
        <v>698</v>
      </c>
      <c r="E228" s="19">
        <v>336.27961842446803</v>
      </c>
      <c r="F228" s="19">
        <v>363.53803011612803</v>
      </c>
      <c r="G228" s="12">
        <f>E228/Combined_Summary!$B$23</f>
        <v>1345.1184736978721</v>
      </c>
      <c r="H228" s="12">
        <f>F228/Combined_Summary!$B$23</f>
        <v>1454.1521204645121</v>
      </c>
      <c r="I228" s="12">
        <f t="shared" si="6"/>
        <v>109.03364676664</v>
      </c>
      <c r="J228" s="13">
        <f t="shared" si="7"/>
        <v>8.1058768352868613E-2</v>
      </c>
    </row>
    <row r="229" spans="1:10" x14ac:dyDescent="0.35">
      <c r="A229" s="3">
        <v>48096</v>
      </c>
      <c r="B229" s="3">
        <v>188690</v>
      </c>
      <c r="C229" s="18">
        <v>547</v>
      </c>
      <c r="D229" s="18">
        <v>547</v>
      </c>
      <c r="E229" s="19">
        <v>351.65705753026498</v>
      </c>
      <c r="F229" s="19">
        <v>378.93866042114502</v>
      </c>
      <c r="G229" s="12">
        <f>E229/Combined_Summary!$B$23</f>
        <v>1406.6282301210599</v>
      </c>
      <c r="H229" s="12">
        <f>F229/Combined_Summary!$B$23</f>
        <v>1515.7546416845801</v>
      </c>
      <c r="I229" s="12">
        <f t="shared" si="6"/>
        <v>109.12641156352015</v>
      </c>
      <c r="J229" s="13">
        <f t="shared" si="7"/>
        <v>7.758013754219073E-2</v>
      </c>
    </row>
    <row r="230" spans="1:10" x14ac:dyDescent="0.35">
      <c r="A230" s="3">
        <v>48097</v>
      </c>
      <c r="B230" s="3">
        <v>188660</v>
      </c>
      <c r="C230" s="18">
        <v>523</v>
      </c>
      <c r="D230" s="18">
        <v>523</v>
      </c>
      <c r="E230" s="19">
        <v>346.58023027525797</v>
      </c>
      <c r="F230" s="19">
        <v>385.66375817030797</v>
      </c>
      <c r="G230" s="12">
        <f>E230/Combined_Summary!$B$23</f>
        <v>1386.3209211010319</v>
      </c>
      <c r="H230" s="12">
        <f>F230/Combined_Summary!$B$23</f>
        <v>1542.6550326812319</v>
      </c>
      <c r="I230" s="12">
        <f t="shared" si="6"/>
        <v>156.33411158019999</v>
      </c>
      <c r="J230" s="13">
        <f t="shared" si="7"/>
        <v>0.11276906320943181</v>
      </c>
    </row>
    <row r="231" spans="1:10" x14ac:dyDescent="0.35">
      <c r="A231" s="3">
        <v>48098</v>
      </c>
      <c r="B231" s="3">
        <v>187707</v>
      </c>
      <c r="C231" s="18">
        <v>557</v>
      </c>
      <c r="D231" s="18">
        <v>557</v>
      </c>
      <c r="E231" s="19">
        <v>351.432986055713</v>
      </c>
      <c r="F231" s="19">
        <v>375.28441024040598</v>
      </c>
      <c r="G231" s="12">
        <f>E231/Combined_Summary!$B$23</f>
        <v>1405.731944222852</v>
      </c>
      <c r="H231" s="12">
        <f>F231/Combined_Summary!$B$23</f>
        <v>1501.1376409616239</v>
      </c>
      <c r="I231" s="12">
        <f t="shared" si="6"/>
        <v>95.405696738771894</v>
      </c>
      <c r="J231" s="13">
        <f t="shared" si="7"/>
        <v>6.7869053649140906E-2</v>
      </c>
    </row>
    <row r="232" spans="1:10" x14ac:dyDescent="0.35">
      <c r="A232" s="3">
        <v>48110</v>
      </c>
      <c r="B232" s="3">
        <v>180951</v>
      </c>
      <c r="C232" s="18">
        <v>778</v>
      </c>
      <c r="D232" s="18">
        <v>778</v>
      </c>
      <c r="E232" s="19">
        <v>342.13443322659799</v>
      </c>
      <c r="F232" s="19">
        <v>362.66716057353301</v>
      </c>
      <c r="G232" s="12">
        <f>E232/Combined_Summary!$B$23</f>
        <v>1368.537732906392</v>
      </c>
      <c r="H232" s="12">
        <f>F232/Combined_Summary!$B$23</f>
        <v>1450.668642294132</v>
      </c>
      <c r="I232" s="12">
        <f t="shared" si="6"/>
        <v>82.130909387740076</v>
      </c>
      <c r="J232" s="13">
        <f t="shared" si="7"/>
        <v>6.0013624332678761E-2</v>
      </c>
    </row>
    <row r="233" spans="1:10" x14ac:dyDescent="0.35">
      <c r="A233" s="3">
        <v>48111</v>
      </c>
      <c r="B233" s="3">
        <v>188683</v>
      </c>
      <c r="C233" s="18">
        <v>845</v>
      </c>
      <c r="D233" s="18">
        <v>845</v>
      </c>
      <c r="E233" s="19">
        <v>324.96099963667803</v>
      </c>
      <c r="F233" s="19">
        <v>355.508357121394</v>
      </c>
      <c r="G233" s="12">
        <f>E233/Combined_Summary!$B$23</f>
        <v>1299.8439985467121</v>
      </c>
      <c r="H233" s="12">
        <f>F233/Combined_Summary!$B$23</f>
        <v>1422.033428485576</v>
      </c>
      <c r="I233" s="12">
        <f t="shared" si="6"/>
        <v>122.1894299388639</v>
      </c>
      <c r="J233" s="13">
        <f t="shared" si="7"/>
        <v>9.4003149666788882E-2</v>
      </c>
    </row>
    <row r="234" spans="1:10" x14ac:dyDescent="0.35">
      <c r="A234" s="3">
        <v>48112</v>
      </c>
      <c r="B234" s="3">
        <v>187671</v>
      </c>
      <c r="C234" s="18">
        <v>421</v>
      </c>
      <c r="D234" s="18">
        <v>421</v>
      </c>
      <c r="E234" s="19">
        <v>336.30578895985701</v>
      </c>
      <c r="F234" s="19">
        <v>358.91248529937099</v>
      </c>
      <c r="G234" s="12">
        <f>E234/Combined_Summary!$B$23</f>
        <v>1345.223155839428</v>
      </c>
      <c r="H234" s="12">
        <f>F234/Combined_Summary!$B$23</f>
        <v>1435.6499411974839</v>
      </c>
      <c r="I234" s="12">
        <f t="shared" si="6"/>
        <v>90.426785358055895</v>
      </c>
      <c r="J234" s="13">
        <f t="shared" si="7"/>
        <v>6.7220657751485835E-2</v>
      </c>
    </row>
    <row r="235" spans="1:10" x14ac:dyDescent="0.35">
      <c r="A235" s="3">
        <v>48113</v>
      </c>
      <c r="B235" s="3">
        <v>187674</v>
      </c>
      <c r="C235" s="18">
        <v>797</v>
      </c>
      <c r="D235" s="18">
        <v>797</v>
      </c>
      <c r="E235" s="19">
        <v>355.774202114665</v>
      </c>
      <c r="F235" s="19">
        <v>385.34182130437898</v>
      </c>
      <c r="G235" s="12">
        <f>E235/Combined_Summary!$B$23</f>
        <v>1423.09680845866</v>
      </c>
      <c r="H235" s="12">
        <f>F235/Combined_Summary!$B$23</f>
        <v>1541.3672852175159</v>
      </c>
      <c r="I235" s="12">
        <f t="shared" si="6"/>
        <v>118.27047675885592</v>
      </c>
      <c r="J235" s="13">
        <f t="shared" si="7"/>
        <v>8.3107822360274516E-2</v>
      </c>
    </row>
    <row r="236" spans="1:10" x14ac:dyDescent="0.35">
      <c r="A236" s="3">
        <v>48114</v>
      </c>
      <c r="B236" s="3">
        <v>187702</v>
      </c>
      <c r="C236" s="18">
        <v>212</v>
      </c>
      <c r="D236" s="18">
        <v>212</v>
      </c>
      <c r="E236" s="19">
        <v>284.19612697385401</v>
      </c>
      <c r="F236" s="19">
        <v>310.43161176285702</v>
      </c>
      <c r="G236" s="12">
        <f>E236/Combined_Summary!$B$23</f>
        <v>1136.784507895416</v>
      </c>
      <c r="H236" s="12">
        <f>F236/Combined_Summary!$B$23</f>
        <v>1241.7264470514281</v>
      </c>
      <c r="I236" s="12">
        <f t="shared" si="6"/>
        <v>104.94193915601204</v>
      </c>
      <c r="J236" s="13">
        <f t="shared" si="7"/>
        <v>9.2314716137622349E-2</v>
      </c>
    </row>
    <row r="237" spans="1:10" x14ac:dyDescent="0.35">
      <c r="A237" s="3">
        <v>48161</v>
      </c>
      <c r="B237" s="3">
        <v>180978</v>
      </c>
      <c r="C237" s="18">
        <v>724</v>
      </c>
      <c r="D237" s="18">
        <v>724</v>
      </c>
      <c r="E237" s="19">
        <v>329.15339473070998</v>
      </c>
      <c r="F237" s="19">
        <v>359.21267681227198</v>
      </c>
      <c r="G237" s="12">
        <f>E237/Combined_Summary!$B$23</f>
        <v>1316.6135789228399</v>
      </c>
      <c r="H237" s="12">
        <f>F237/Combined_Summary!$B$23</f>
        <v>1436.8507072490879</v>
      </c>
      <c r="I237" s="12">
        <f t="shared" si="6"/>
        <v>120.23712832624801</v>
      </c>
      <c r="J237" s="13">
        <f t="shared" si="7"/>
        <v>9.132302009570456E-2</v>
      </c>
    </row>
    <row r="238" spans="1:10" x14ac:dyDescent="0.35">
      <c r="A238" s="3">
        <v>48162</v>
      </c>
      <c r="B238" s="3">
        <v>188693</v>
      </c>
      <c r="C238" s="18">
        <v>642</v>
      </c>
      <c r="D238" s="18">
        <v>642</v>
      </c>
      <c r="E238" s="19">
        <v>349.52749166756001</v>
      </c>
      <c r="F238" s="19">
        <v>372.51844492879599</v>
      </c>
      <c r="G238" s="12">
        <f>E238/Combined_Summary!$B$23</f>
        <v>1398.1099666702401</v>
      </c>
      <c r="H238" s="12">
        <f>F238/Combined_Summary!$B$23</f>
        <v>1490.0737797151839</v>
      </c>
      <c r="I238" s="12">
        <f t="shared" si="6"/>
        <v>91.96381304494389</v>
      </c>
      <c r="J238" s="13">
        <f t="shared" si="7"/>
        <v>6.5777238727484574E-2</v>
      </c>
    </row>
    <row r="239" spans="1:10" x14ac:dyDescent="0.35">
      <c r="A239" s="3">
        <v>48163</v>
      </c>
      <c r="B239" s="3">
        <v>638063</v>
      </c>
      <c r="C239" s="18">
        <v>16</v>
      </c>
      <c r="D239" s="18">
        <v>16</v>
      </c>
      <c r="E239" s="19">
        <v>252.86377525329601</v>
      </c>
      <c r="F239" s="19">
        <v>294.58911323547397</v>
      </c>
      <c r="G239" s="12">
        <f>E239/Combined_Summary!$B$23</f>
        <v>1011.455101013184</v>
      </c>
      <c r="H239" s="12">
        <f>F239/Combined_Summary!$B$23</f>
        <v>1178.3564529418959</v>
      </c>
      <c r="I239" s="12">
        <f t="shared" si="6"/>
        <v>166.90135192871185</v>
      </c>
      <c r="J239" s="13">
        <f t="shared" si="7"/>
        <v>0.16501113273493326</v>
      </c>
    </row>
    <row r="240" spans="1:10" x14ac:dyDescent="0.35">
      <c r="A240" s="3">
        <v>48164</v>
      </c>
      <c r="B240" s="3">
        <v>187692</v>
      </c>
      <c r="C240" s="18">
        <v>250</v>
      </c>
      <c r="D240" s="18">
        <v>250</v>
      </c>
      <c r="E240" s="19">
        <v>350.03904165649402</v>
      </c>
      <c r="F240" s="19">
        <v>378.64341281127901</v>
      </c>
      <c r="G240" s="12">
        <f>E240/Combined_Summary!$B$23</f>
        <v>1400.1561666259761</v>
      </c>
      <c r="H240" s="12">
        <f>F240/Combined_Summary!$B$23</f>
        <v>1514.573651245116</v>
      </c>
      <c r="I240" s="12">
        <f t="shared" si="6"/>
        <v>114.41748461913994</v>
      </c>
      <c r="J240" s="13">
        <f t="shared" si="7"/>
        <v>8.1717659320000913E-2</v>
      </c>
    </row>
    <row r="241" spans="1:10" x14ac:dyDescent="0.35">
      <c r="A241" s="3">
        <v>48179</v>
      </c>
      <c r="B241" s="3">
        <v>187794</v>
      </c>
      <c r="C241" s="18">
        <v>463</v>
      </c>
      <c r="D241" s="18">
        <v>463</v>
      </c>
      <c r="E241" s="19">
        <v>322.628969789839</v>
      </c>
      <c r="F241" s="19">
        <v>350.08084956719102</v>
      </c>
      <c r="G241" s="12">
        <f>E241/Combined_Summary!$B$23</f>
        <v>1290.515879159356</v>
      </c>
      <c r="H241" s="12">
        <f>F241/Combined_Summary!$B$23</f>
        <v>1400.3233982687641</v>
      </c>
      <c r="I241" s="12">
        <f t="shared" si="6"/>
        <v>109.80751910940808</v>
      </c>
      <c r="J241" s="13">
        <f t="shared" si="7"/>
        <v>8.5088080575139349E-2</v>
      </c>
    </row>
    <row r="242" spans="1:10" x14ac:dyDescent="0.35">
      <c r="A242" s="3">
        <v>48198</v>
      </c>
      <c r="B242" s="3">
        <v>193715</v>
      </c>
      <c r="C242" s="18">
        <v>211</v>
      </c>
      <c r="D242" s="18">
        <v>211</v>
      </c>
      <c r="E242" s="19">
        <v>269.35899146925198</v>
      </c>
      <c r="F242" s="19">
        <v>311.40787122825901</v>
      </c>
      <c r="G242" s="12">
        <f>E242/Combined_Summary!$B$23</f>
        <v>1077.4359658770079</v>
      </c>
      <c r="H242" s="12">
        <f>F242/Combined_Summary!$B$23</f>
        <v>1245.631484913036</v>
      </c>
      <c r="I242" s="12">
        <f t="shared" si="6"/>
        <v>168.19551903602814</v>
      </c>
      <c r="J242" s="13">
        <f t="shared" si="7"/>
        <v>0.1561072067045032</v>
      </c>
    </row>
    <row r="243" spans="1:10" x14ac:dyDescent="0.35">
      <c r="A243" s="3">
        <v>48199</v>
      </c>
      <c r="B243" s="3">
        <v>182475</v>
      </c>
      <c r="C243" s="18">
        <v>717</v>
      </c>
      <c r="D243" s="18">
        <v>717</v>
      </c>
      <c r="E243" s="19">
        <v>365.18766206877001</v>
      </c>
      <c r="F243" s="19">
        <v>389.60628959623801</v>
      </c>
      <c r="G243" s="12">
        <f>E243/Combined_Summary!$B$23</f>
        <v>1460.75064827508</v>
      </c>
      <c r="H243" s="12">
        <f>F243/Combined_Summary!$B$23</f>
        <v>1558.4251583849521</v>
      </c>
      <c r="I243" s="12">
        <f t="shared" si="6"/>
        <v>97.674510109872017</v>
      </c>
      <c r="J243" s="13">
        <f t="shared" si="7"/>
        <v>6.6865970742652395E-2</v>
      </c>
    </row>
    <row r="244" spans="1:10" x14ac:dyDescent="0.35">
      <c r="A244" s="3">
        <v>48200</v>
      </c>
      <c r="B244" s="3">
        <v>187786</v>
      </c>
      <c r="C244" s="18">
        <v>579</v>
      </c>
      <c r="D244" s="18">
        <v>579</v>
      </c>
      <c r="E244" s="19">
        <v>356.50498296971602</v>
      </c>
      <c r="F244" s="19">
        <v>382.712546537989</v>
      </c>
      <c r="G244" s="12">
        <f>E244/Combined_Summary!$B$23</f>
        <v>1426.0199318788641</v>
      </c>
      <c r="H244" s="12">
        <f>F244/Combined_Summary!$B$23</f>
        <v>1530.850186151956</v>
      </c>
      <c r="I244" s="12">
        <f t="shared" si="6"/>
        <v>104.8302542730919</v>
      </c>
      <c r="J244" s="13">
        <f t="shared" si="7"/>
        <v>7.3512474776542533E-2</v>
      </c>
    </row>
    <row r="245" spans="1:10" x14ac:dyDescent="0.35">
      <c r="A245" s="3">
        <v>48201</v>
      </c>
      <c r="B245" s="3">
        <v>187792</v>
      </c>
      <c r="C245" s="18">
        <v>679</v>
      </c>
      <c r="D245" s="18">
        <v>679</v>
      </c>
      <c r="E245" s="19">
        <v>347.74868383393601</v>
      </c>
      <c r="F245" s="19">
        <v>376.20806406102599</v>
      </c>
      <c r="G245" s="12">
        <f>E245/Combined_Summary!$B$23</f>
        <v>1390.9947353357441</v>
      </c>
      <c r="H245" s="12">
        <f>F245/Combined_Summary!$B$23</f>
        <v>1504.832256244104</v>
      </c>
      <c r="I245" s="12">
        <f t="shared" si="6"/>
        <v>113.83752090835992</v>
      </c>
      <c r="J245" s="13">
        <f t="shared" si="7"/>
        <v>8.1838930095506787E-2</v>
      </c>
    </row>
    <row r="246" spans="1:10" x14ac:dyDescent="0.35">
      <c r="A246" s="3">
        <v>48218</v>
      </c>
      <c r="B246" s="3">
        <v>181017</v>
      </c>
      <c r="C246" s="18">
        <v>789</v>
      </c>
      <c r="D246" s="18">
        <v>789</v>
      </c>
      <c r="E246" s="19">
        <v>346.17221798431399</v>
      </c>
      <c r="F246" s="19">
        <v>370.83086618633803</v>
      </c>
      <c r="G246" s="12">
        <f>E246/Combined_Summary!$B$23</f>
        <v>1384.688871937256</v>
      </c>
      <c r="H246" s="12">
        <f>F246/Combined_Summary!$B$23</f>
        <v>1483.3234647453521</v>
      </c>
      <c r="I246" s="12">
        <f t="shared" si="6"/>
        <v>98.634592808096158</v>
      </c>
      <c r="J246" s="13">
        <f t="shared" si="7"/>
        <v>7.1232314209401376E-2</v>
      </c>
    </row>
    <row r="247" spans="1:10" x14ac:dyDescent="0.35">
      <c r="A247" s="3">
        <v>48219</v>
      </c>
      <c r="B247" s="3">
        <v>187759</v>
      </c>
      <c r="C247" s="18">
        <v>599</v>
      </c>
      <c r="D247" s="18">
        <v>599</v>
      </c>
      <c r="E247" s="19">
        <v>309.99580282679398</v>
      </c>
      <c r="F247" s="19">
        <v>343.042721285048</v>
      </c>
      <c r="G247" s="12">
        <f>E247/Combined_Summary!$B$23</f>
        <v>1239.9832113071759</v>
      </c>
      <c r="H247" s="12">
        <f>F247/Combined_Summary!$B$23</f>
        <v>1372.170885140192</v>
      </c>
      <c r="I247" s="12">
        <f t="shared" si="6"/>
        <v>132.18767383301611</v>
      </c>
      <c r="J247" s="13">
        <f t="shared" si="7"/>
        <v>0.10660440611422907</v>
      </c>
    </row>
    <row r="248" spans="1:10" x14ac:dyDescent="0.35">
      <c r="A248" s="3">
        <v>48220</v>
      </c>
      <c r="B248" s="3">
        <v>187760</v>
      </c>
      <c r="C248" s="18">
        <v>707</v>
      </c>
      <c r="D248" s="18">
        <v>707</v>
      </c>
      <c r="E248" s="19">
        <v>307.84349724258402</v>
      </c>
      <c r="F248" s="19">
        <v>338.05212281482102</v>
      </c>
      <c r="G248" s="12">
        <f>E248/Combined_Summary!$B$23</f>
        <v>1231.3739889703361</v>
      </c>
      <c r="H248" s="12">
        <f>F248/Combined_Summary!$B$23</f>
        <v>1352.2084912592841</v>
      </c>
      <c r="I248" s="12">
        <f t="shared" si="6"/>
        <v>120.83450228894799</v>
      </c>
      <c r="J248" s="13">
        <f t="shared" si="7"/>
        <v>9.8129815451103303E-2</v>
      </c>
    </row>
    <row r="249" spans="1:10" x14ac:dyDescent="0.35">
      <c r="A249" s="3">
        <v>48233</v>
      </c>
      <c r="B249" s="3">
        <v>16094</v>
      </c>
      <c r="C249" s="18">
        <v>1417</v>
      </c>
      <c r="D249" s="18">
        <v>1417</v>
      </c>
      <c r="E249" s="19">
        <v>368.57063772919003</v>
      </c>
      <c r="F249" s="19">
        <v>403.542086286955</v>
      </c>
      <c r="G249" s="12">
        <f>E249/Combined_Summary!$B$23</f>
        <v>1474.2825509167601</v>
      </c>
      <c r="H249" s="12">
        <f>F249/Combined_Summary!$B$23</f>
        <v>1614.16834514782</v>
      </c>
      <c r="I249" s="12">
        <f t="shared" si="6"/>
        <v>139.88579423105989</v>
      </c>
      <c r="J249" s="13">
        <f t="shared" si="7"/>
        <v>9.4883978748899964E-2</v>
      </c>
    </row>
    <row r="250" spans="1:10" x14ac:dyDescent="0.35">
      <c r="A250" s="3">
        <v>48234</v>
      </c>
      <c r="B250" s="3">
        <v>187789</v>
      </c>
      <c r="C250" s="18">
        <v>601</v>
      </c>
      <c r="D250" s="18">
        <v>601</v>
      </c>
      <c r="E250" s="19">
        <v>383.56472222301198</v>
      </c>
      <c r="F250" s="19">
        <v>410.62125045090897</v>
      </c>
      <c r="G250" s="12">
        <f>E250/Combined_Summary!$B$23</f>
        <v>1534.2588888920479</v>
      </c>
      <c r="H250" s="12">
        <f>F250/Combined_Summary!$B$23</f>
        <v>1642.4850018036359</v>
      </c>
      <c r="I250" s="12">
        <f t="shared" si="6"/>
        <v>108.22611291158796</v>
      </c>
      <c r="J250" s="13">
        <f t="shared" si="7"/>
        <v>7.0539668171479539E-2</v>
      </c>
    </row>
    <row r="251" spans="1:10" x14ac:dyDescent="0.35">
      <c r="A251" s="3">
        <v>48241</v>
      </c>
      <c r="B251" s="3">
        <v>182482</v>
      </c>
      <c r="C251" s="18">
        <v>777</v>
      </c>
      <c r="D251" s="18">
        <v>777</v>
      </c>
      <c r="E251" s="19">
        <v>348.83083030278499</v>
      </c>
      <c r="F251" s="19">
        <v>378.77387014656603</v>
      </c>
      <c r="G251" s="12">
        <f>E251/Combined_Summary!$B$23</f>
        <v>1395.32332121114</v>
      </c>
      <c r="H251" s="12">
        <f>F251/Combined_Summary!$B$23</f>
        <v>1515.0954805862641</v>
      </c>
      <c r="I251" s="12">
        <f t="shared" si="6"/>
        <v>119.77215937512415</v>
      </c>
      <c r="J251" s="13">
        <f t="shared" si="7"/>
        <v>8.5838283897643142E-2</v>
      </c>
    </row>
    <row r="252" spans="1:10" x14ac:dyDescent="0.35">
      <c r="A252" s="3">
        <v>48256</v>
      </c>
      <c r="B252" s="3">
        <v>635453</v>
      </c>
      <c r="C252" s="18">
        <v>16</v>
      </c>
      <c r="D252" s="18">
        <v>16</v>
      </c>
      <c r="E252" s="19">
        <v>316.35724067688</v>
      </c>
      <c r="F252" s="19">
        <v>352.16772270202603</v>
      </c>
      <c r="G252" s="12">
        <f>E252/Combined_Summary!$B$23</f>
        <v>1265.42896270752</v>
      </c>
      <c r="H252" s="12">
        <f>F252/Combined_Summary!$B$23</f>
        <v>1408.6708908081041</v>
      </c>
      <c r="I252" s="12">
        <f t="shared" si="6"/>
        <v>143.24192810058412</v>
      </c>
      <c r="J252" s="13">
        <f t="shared" si="7"/>
        <v>0.11319634078400005</v>
      </c>
    </row>
    <row r="253" spans="1:10" x14ac:dyDescent="0.35">
      <c r="A253" s="3">
        <v>48257</v>
      </c>
      <c r="B253" s="3">
        <v>635451</v>
      </c>
      <c r="C253" s="18">
        <v>16</v>
      </c>
      <c r="D253" s="18">
        <v>16</v>
      </c>
      <c r="E253" s="19">
        <v>331.077583312988</v>
      </c>
      <c r="F253" s="19">
        <v>378.54377555847202</v>
      </c>
      <c r="G253" s="12">
        <f>E253/Combined_Summary!$B$23</f>
        <v>1324.310333251952</v>
      </c>
      <c r="H253" s="12">
        <f>F253/Combined_Summary!$B$23</f>
        <v>1514.1751022338881</v>
      </c>
      <c r="I253" s="12">
        <f t="shared" si="6"/>
        <v>189.86476898193609</v>
      </c>
      <c r="J253" s="13">
        <f t="shared" si="7"/>
        <v>0.14336878918380686</v>
      </c>
    </row>
    <row r="254" spans="1:10" x14ac:dyDescent="0.35">
      <c r="A254" s="3">
        <v>48269</v>
      </c>
      <c r="B254" s="3">
        <v>181010</v>
      </c>
      <c r="C254" s="18">
        <v>401</v>
      </c>
      <c r="D254" s="18">
        <v>401</v>
      </c>
      <c r="E254" s="19">
        <v>349.06198053526498</v>
      </c>
      <c r="F254" s="19">
        <v>375.66306173652799</v>
      </c>
      <c r="G254" s="12">
        <f>E254/Combined_Summary!$B$23</f>
        <v>1396.2479221410599</v>
      </c>
      <c r="H254" s="12">
        <f>F254/Combined_Summary!$B$23</f>
        <v>1502.652246946112</v>
      </c>
      <c r="I254" s="12">
        <f t="shared" si="6"/>
        <v>106.40432480505206</v>
      </c>
      <c r="J254" s="13">
        <f t="shared" si="7"/>
        <v>7.6207329026415027E-2</v>
      </c>
    </row>
    <row r="255" spans="1:10" x14ac:dyDescent="0.35">
      <c r="A255" s="3">
        <v>48276</v>
      </c>
      <c r="B255" s="3">
        <v>182432</v>
      </c>
      <c r="C255" s="18">
        <v>657</v>
      </c>
      <c r="D255" s="18">
        <v>657</v>
      </c>
      <c r="E255" s="19">
        <v>333.54438471104601</v>
      </c>
      <c r="F255" s="19">
        <v>373.27168640879898</v>
      </c>
      <c r="G255" s="12">
        <f>E255/Combined_Summary!$B$23</f>
        <v>1334.177538844184</v>
      </c>
      <c r="H255" s="12">
        <f>F255/Combined_Summary!$B$23</f>
        <v>1493.0867456351959</v>
      </c>
      <c r="I255" s="12">
        <f t="shared" si="6"/>
        <v>158.90920679101191</v>
      </c>
      <c r="J255" s="13">
        <f t="shared" si="7"/>
        <v>0.11910649232535957</v>
      </c>
    </row>
    <row r="256" spans="1:10" x14ac:dyDescent="0.35">
      <c r="A256" s="3">
        <v>48277</v>
      </c>
      <c r="B256" s="3">
        <v>180691</v>
      </c>
      <c r="C256" s="18">
        <v>521</v>
      </c>
      <c r="D256" s="18">
        <v>521</v>
      </c>
      <c r="E256" s="19">
        <v>330.80017395898199</v>
      </c>
      <c r="F256" s="19">
        <v>364.27594787831998</v>
      </c>
      <c r="G256" s="12">
        <f>E256/Combined_Summary!$B$23</f>
        <v>1323.2006958359279</v>
      </c>
      <c r="H256" s="12">
        <f>F256/Combined_Summary!$B$23</f>
        <v>1457.1037915132799</v>
      </c>
      <c r="I256" s="12">
        <f t="shared" si="6"/>
        <v>133.90309567735198</v>
      </c>
      <c r="J256" s="13">
        <f t="shared" si="7"/>
        <v>0.10119636129178357</v>
      </c>
    </row>
    <row r="257" spans="1:10" x14ac:dyDescent="0.35">
      <c r="A257" s="3">
        <v>48278</v>
      </c>
      <c r="B257" s="3">
        <v>588282</v>
      </c>
      <c r="C257" s="18">
        <v>15</v>
      </c>
      <c r="D257" s="18">
        <v>15</v>
      </c>
      <c r="E257" s="19">
        <v>338.674576822917</v>
      </c>
      <c r="F257" s="19">
        <v>365.49763692220102</v>
      </c>
      <c r="G257" s="12">
        <f>E257/Combined_Summary!$B$23</f>
        <v>1354.698307291668</v>
      </c>
      <c r="H257" s="12">
        <f>F257/Combined_Summary!$B$23</f>
        <v>1461.9905476888041</v>
      </c>
      <c r="I257" s="12">
        <f t="shared" si="6"/>
        <v>107.29224039713608</v>
      </c>
      <c r="J257" s="13">
        <f t="shared" si="7"/>
        <v>7.9200099254302783E-2</v>
      </c>
    </row>
    <row r="258" spans="1:10" x14ac:dyDescent="0.35">
      <c r="A258" s="3">
        <v>48295</v>
      </c>
      <c r="B258" s="3">
        <v>632575</v>
      </c>
      <c r="C258" s="18">
        <v>16</v>
      </c>
      <c r="D258" s="18">
        <v>16</v>
      </c>
      <c r="E258" s="19">
        <v>323.24369621276901</v>
      </c>
      <c r="F258" s="19">
        <v>347.63697242736799</v>
      </c>
      <c r="G258" s="12">
        <f>E258/Combined_Summary!$B$23</f>
        <v>1292.974784851076</v>
      </c>
      <c r="H258" s="12">
        <f>F258/Combined_Summary!$B$23</f>
        <v>1390.547889709472</v>
      </c>
      <c r="I258" s="12">
        <f t="shared" ref="I258:I321" si="8">H258-G258</f>
        <v>97.573104858395936</v>
      </c>
      <c r="J258" s="13">
        <f t="shared" ref="J258:J321" si="9">IF(G258=0,"",I258/G258)</f>
        <v>7.5464043074617529E-2</v>
      </c>
    </row>
    <row r="259" spans="1:10" x14ac:dyDescent="0.35">
      <c r="A259" s="3">
        <v>48296</v>
      </c>
      <c r="B259" s="3">
        <v>594461</v>
      </c>
      <c r="C259" s="18">
        <v>16</v>
      </c>
      <c r="D259" s="18">
        <v>16</v>
      </c>
      <c r="E259" s="19">
        <v>313.85174560546898</v>
      </c>
      <c r="F259" s="19">
        <v>348.27491950988798</v>
      </c>
      <c r="G259" s="12">
        <f>E259/Combined_Summary!$B$23</f>
        <v>1255.4069824218759</v>
      </c>
      <c r="H259" s="12">
        <f>F259/Combined_Summary!$B$23</f>
        <v>1393.0996780395519</v>
      </c>
      <c r="I259" s="12">
        <f t="shared" si="8"/>
        <v>137.69269561767601</v>
      </c>
      <c r="J259" s="13">
        <f t="shared" si="9"/>
        <v>0.10967972740763741</v>
      </c>
    </row>
    <row r="260" spans="1:10" x14ac:dyDescent="0.35">
      <c r="A260" s="3">
        <v>48297</v>
      </c>
      <c r="B260" s="3">
        <v>182406</v>
      </c>
      <c r="C260" s="18">
        <v>498</v>
      </c>
      <c r="D260" s="18">
        <v>498</v>
      </c>
      <c r="E260" s="19">
        <v>326.464476206217</v>
      </c>
      <c r="F260" s="19">
        <v>357.38663945332098</v>
      </c>
      <c r="G260" s="12">
        <f>E260/Combined_Summary!$B$23</f>
        <v>1305.857904824868</v>
      </c>
      <c r="H260" s="12">
        <f>F260/Combined_Summary!$B$23</f>
        <v>1429.5465578132839</v>
      </c>
      <c r="I260" s="12">
        <f t="shared" si="8"/>
        <v>123.68865298841592</v>
      </c>
      <c r="J260" s="13">
        <f t="shared" si="9"/>
        <v>9.4718309343928303E-2</v>
      </c>
    </row>
    <row r="261" spans="1:10" x14ac:dyDescent="0.35">
      <c r="A261" s="3">
        <v>48298</v>
      </c>
      <c r="B261" s="3">
        <v>594071</v>
      </c>
      <c r="C261" s="18">
        <v>16</v>
      </c>
      <c r="D261" s="18">
        <v>16</v>
      </c>
      <c r="E261" s="19">
        <v>341.69268798828102</v>
      </c>
      <c r="F261" s="19">
        <v>361.14712524414102</v>
      </c>
      <c r="G261" s="12">
        <f>E261/Combined_Summary!$B$23</f>
        <v>1366.7707519531241</v>
      </c>
      <c r="H261" s="12">
        <f>F261/Combined_Summary!$B$23</f>
        <v>1444.5885009765641</v>
      </c>
      <c r="I261" s="12">
        <f t="shared" si="8"/>
        <v>77.817749023440001</v>
      </c>
      <c r="J261" s="13">
        <f t="shared" si="9"/>
        <v>5.6935480154398935E-2</v>
      </c>
    </row>
    <row r="262" spans="1:10" x14ac:dyDescent="0.35">
      <c r="A262" s="3">
        <v>48299</v>
      </c>
      <c r="B262" s="3">
        <v>187858</v>
      </c>
      <c r="C262" s="18">
        <v>712</v>
      </c>
      <c r="D262" s="18">
        <v>712</v>
      </c>
      <c r="E262" s="19">
        <v>334.55674377719998</v>
      </c>
      <c r="F262" s="19">
        <v>366.67287196470102</v>
      </c>
      <c r="G262" s="12">
        <f>E262/Combined_Summary!$B$23</f>
        <v>1338.2269751087999</v>
      </c>
      <c r="H262" s="12">
        <f>F262/Combined_Summary!$B$23</f>
        <v>1466.6914878588041</v>
      </c>
      <c r="I262" s="12">
        <f t="shared" si="8"/>
        <v>128.46451275000413</v>
      </c>
      <c r="J262" s="13">
        <f t="shared" si="9"/>
        <v>9.5996056827026499E-2</v>
      </c>
    </row>
    <row r="263" spans="1:10" x14ac:dyDescent="0.35">
      <c r="A263" s="3">
        <v>48300</v>
      </c>
      <c r="B263" s="3">
        <v>565040</v>
      </c>
      <c r="C263" s="18">
        <v>16</v>
      </c>
      <c r="D263" s="18">
        <v>16</v>
      </c>
      <c r="E263" s="19">
        <v>287.92250347137502</v>
      </c>
      <c r="F263" s="19">
        <v>313.92985725402798</v>
      </c>
      <c r="G263" s="12">
        <f>E263/Combined_Summary!$B$23</f>
        <v>1151.6900138855001</v>
      </c>
      <c r="H263" s="12">
        <f>F263/Combined_Summary!$B$23</f>
        <v>1255.7194290161119</v>
      </c>
      <c r="I263" s="12">
        <f t="shared" si="8"/>
        <v>104.02941513061182</v>
      </c>
      <c r="J263" s="13">
        <f t="shared" si="9"/>
        <v>9.032761756754655E-2</v>
      </c>
    </row>
    <row r="264" spans="1:10" x14ac:dyDescent="0.35">
      <c r="A264" s="3">
        <v>48301</v>
      </c>
      <c r="B264" s="3">
        <v>31239</v>
      </c>
      <c r="C264" s="18">
        <v>2</v>
      </c>
      <c r="D264" s="18">
        <v>2</v>
      </c>
      <c r="E264" s="19">
        <v>287.60185241699202</v>
      </c>
      <c r="F264" s="19">
        <v>427.61138916015602</v>
      </c>
      <c r="G264" s="12">
        <f>E264/Combined_Summary!$B$23</f>
        <v>1150.4074096679681</v>
      </c>
      <c r="H264" s="12">
        <f>F264/Combined_Summary!$B$23</f>
        <v>1710.4455566406241</v>
      </c>
      <c r="I264" s="12">
        <f t="shared" si="8"/>
        <v>560.03814697265602</v>
      </c>
      <c r="J264" s="13">
        <f t="shared" si="9"/>
        <v>0.48681722863232851</v>
      </c>
    </row>
    <row r="265" spans="1:10" x14ac:dyDescent="0.35">
      <c r="A265" s="3">
        <v>50879</v>
      </c>
      <c r="B265" s="3">
        <v>187515</v>
      </c>
      <c r="C265" s="18">
        <v>137</v>
      </c>
      <c r="D265" s="18">
        <v>137</v>
      </c>
      <c r="E265" s="19">
        <v>383.371346132599</v>
      </c>
      <c r="F265" s="19">
        <v>412.97730243989201</v>
      </c>
      <c r="G265" s="12">
        <f>E265/Combined_Summary!$B$23</f>
        <v>1533.485384530396</v>
      </c>
      <c r="H265" s="12">
        <f>F265/Combined_Summary!$B$23</f>
        <v>1651.9092097595681</v>
      </c>
      <c r="I265" s="12">
        <f t="shared" si="8"/>
        <v>118.42382522917205</v>
      </c>
      <c r="J265" s="13">
        <f t="shared" si="9"/>
        <v>7.7225271544037147E-2</v>
      </c>
    </row>
    <row r="266" spans="1:10" x14ac:dyDescent="0.35">
      <c r="A266" s="3">
        <v>50891</v>
      </c>
      <c r="B266" s="3">
        <v>187494</v>
      </c>
      <c r="C266" s="18">
        <v>442</v>
      </c>
      <c r="D266" s="18">
        <v>442</v>
      </c>
      <c r="E266" s="19">
        <v>350.41516368745101</v>
      </c>
      <c r="F266" s="19">
        <v>371.68354193225701</v>
      </c>
      <c r="G266" s="12">
        <f>E266/Combined_Summary!$B$23</f>
        <v>1401.6606547498041</v>
      </c>
      <c r="H266" s="12">
        <f>F266/Combined_Summary!$B$23</f>
        <v>1486.7341677290281</v>
      </c>
      <c r="I266" s="12">
        <f t="shared" si="8"/>
        <v>85.073512979224006</v>
      </c>
      <c r="J266" s="13">
        <f t="shared" si="9"/>
        <v>6.0694799908191474E-2</v>
      </c>
    </row>
    <row r="267" spans="1:10" x14ac:dyDescent="0.35">
      <c r="A267" s="3">
        <v>50892</v>
      </c>
      <c r="B267" s="3">
        <v>187519</v>
      </c>
      <c r="C267" s="18">
        <v>504</v>
      </c>
      <c r="D267" s="18">
        <v>504</v>
      </c>
      <c r="E267" s="19">
        <v>347.75002096569699</v>
      </c>
      <c r="F267" s="19">
        <v>368.649274341644</v>
      </c>
      <c r="G267" s="12">
        <f>E267/Combined_Summary!$B$23</f>
        <v>1391.000083862788</v>
      </c>
      <c r="H267" s="12">
        <f>F267/Combined_Summary!$B$23</f>
        <v>1474.597097366576</v>
      </c>
      <c r="I267" s="12">
        <f t="shared" si="8"/>
        <v>83.597013503788048</v>
      </c>
      <c r="J267" s="13">
        <f t="shared" si="9"/>
        <v>6.0098496379410921E-2</v>
      </c>
    </row>
    <row r="268" spans="1:10" x14ac:dyDescent="0.35">
      <c r="A268" s="3">
        <v>50913</v>
      </c>
      <c r="B268" s="3">
        <v>182525</v>
      </c>
      <c r="C268" s="18">
        <v>689</v>
      </c>
      <c r="D268" s="18">
        <v>689</v>
      </c>
      <c r="E268" s="19">
        <v>324.44388352769198</v>
      </c>
      <c r="F268" s="19">
        <v>358.17428186912201</v>
      </c>
      <c r="G268" s="12">
        <f>E268/Combined_Summary!$B$23</f>
        <v>1297.7755341107679</v>
      </c>
      <c r="H268" s="12">
        <f>F268/Combined_Summary!$B$23</f>
        <v>1432.697127476488</v>
      </c>
      <c r="I268" s="12">
        <f t="shared" si="8"/>
        <v>134.92159336572013</v>
      </c>
      <c r="J268" s="13">
        <f t="shared" si="9"/>
        <v>0.10396373626982267</v>
      </c>
    </row>
    <row r="269" spans="1:10" x14ac:dyDescent="0.35">
      <c r="A269" s="3">
        <v>50914</v>
      </c>
      <c r="B269" s="3">
        <v>187530</v>
      </c>
      <c r="C269" s="18">
        <v>380</v>
      </c>
      <c r="D269" s="18">
        <v>380</v>
      </c>
      <c r="E269" s="19">
        <v>345.470786947953</v>
      </c>
      <c r="F269" s="19">
        <v>373.459082573339</v>
      </c>
      <c r="G269" s="12">
        <f>E269/Combined_Summary!$B$23</f>
        <v>1381.883147791812</v>
      </c>
      <c r="H269" s="12">
        <f>F269/Combined_Summary!$B$23</f>
        <v>1493.836330293356</v>
      </c>
      <c r="I269" s="12">
        <f t="shared" si="8"/>
        <v>111.95318250154401</v>
      </c>
      <c r="J269" s="13">
        <f t="shared" si="9"/>
        <v>8.1014941589265504E-2</v>
      </c>
    </row>
    <row r="270" spans="1:10" x14ac:dyDescent="0.35">
      <c r="A270" s="3">
        <v>50915</v>
      </c>
      <c r="B270" s="3">
        <v>187552</v>
      </c>
      <c r="C270" s="18">
        <v>554</v>
      </c>
      <c r="D270" s="18">
        <v>554</v>
      </c>
      <c r="E270" s="19">
        <v>322.140905635021</v>
      </c>
      <c r="F270" s="19">
        <v>359.09222880339399</v>
      </c>
      <c r="G270" s="12">
        <f>E270/Combined_Summary!$B$23</f>
        <v>1288.563622540084</v>
      </c>
      <c r="H270" s="12">
        <f>F270/Combined_Summary!$B$23</f>
        <v>1436.368915213576</v>
      </c>
      <c r="I270" s="12">
        <f t="shared" si="8"/>
        <v>147.80529267349198</v>
      </c>
      <c r="J270" s="13">
        <f t="shared" si="9"/>
        <v>0.11470546745851047</v>
      </c>
    </row>
    <row r="271" spans="1:10" x14ac:dyDescent="0.35">
      <c r="A271" s="3">
        <v>50916</v>
      </c>
      <c r="B271" s="3">
        <v>187585</v>
      </c>
      <c r="C271" s="18">
        <v>616</v>
      </c>
      <c r="D271" s="18">
        <v>616</v>
      </c>
      <c r="E271" s="19">
        <v>341.01904481417199</v>
      </c>
      <c r="F271" s="19">
        <v>373.52577145068699</v>
      </c>
      <c r="G271" s="12">
        <f>E271/Combined_Summary!$B$23</f>
        <v>1364.076179256688</v>
      </c>
      <c r="H271" s="12">
        <f>F271/Combined_Summary!$B$23</f>
        <v>1494.103085802748</v>
      </c>
      <c r="I271" s="12">
        <f t="shared" si="8"/>
        <v>130.02690654605999</v>
      </c>
      <c r="J271" s="13">
        <f t="shared" si="9"/>
        <v>9.5322320353775414E-2</v>
      </c>
    </row>
    <row r="272" spans="1:10" x14ac:dyDescent="0.35">
      <c r="A272" s="3">
        <v>50917</v>
      </c>
      <c r="B272" s="3">
        <v>187651</v>
      </c>
      <c r="C272" s="18">
        <v>612</v>
      </c>
      <c r="D272" s="18">
        <v>612</v>
      </c>
      <c r="E272" s="19">
        <v>340.13702971639202</v>
      </c>
      <c r="F272" s="19">
        <v>370.63330999386898</v>
      </c>
      <c r="G272" s="12">
        <f>E272/Combined_Summary!$B$23</f>
        <v>1360.5481188655681</v>
      </c>
      <c r="H272" s="12">
        <f>F272/Combined_Summary!$B$23</f>
        <v>1482.5332399754759</v>
      </c>
      <c r="I272" s="12">
        <f t="shared" si="8"/>
        <v>121.98512110990782</v>
      </c>
      <c r="J272" s="13">
        <f t="shared" si="9"/>
        <v>8.9658806931150387E-2</v>
      </c>
    </row>
    <row r="273" spans="1:10" x14ac:dyDescent="0.35">
      <c r="A273" s="3">
        <v>50936</v>
      </c>
      <c r="B273" s="3">
        <v>643811</v>
      </c>
      <c r="C273" s="18">
        <v>16</v>
      </c>
      <c r="D273" s="18">
        <v>16</v>
      </c>
      <c r="E273" s="19">
        <v>311.52480792999302</v>
      </c>
      <c r="F273" s="19">
        <v>358.46393394470198</v>
      </c>
      <c r="G273" s="12">
        <f>E273/Combined_Summary!$B$23</f>
        <v>1246.0992317199721</v>
      </c>
      <c r="H273" s="12">
        <f>F273/Combined_Summary!$B$23</f>
        <v>1433.8557357788079</v>
      </c>
      <c r="I273" s="12">
        <f t="shared" si="8"/>
        <v>187.75650405883584</v>
      </c>
      <c r="J273" s="13">
        <f t="shared" si="9"/>
        <v>0.15067540311350514</v>
      </c>
    </row>
    <row r="274" spans="1:10" x14ac:dyDescent="0.35">
      <c r="A274" s="3">
        <v>50937</v>
      </c>
      <c r="B274" s="3">
        <v>187570</v>
      </c>
      <c r="C274" s="18">
        <v>563</v>
      </c>
      <c r="D274" s="18">
        <v>563</v>
      </c>
      <c r="E274" s="19">
        <v>283.97608363014302</v>
      </c>
      <c r="F274" s="19">
        <v>323.18118412160101</v>
      </c>
      <c r="G274" s="12">
        <f>E274/Combined_Summary!$B$23</f>
        <v>1135.9043345205721</v>
      </c>
      <c r="H274" s="12">
        <f>F274/Combined_Summary!$B$23</f>
        <v>1292.724736486404</v>
      </c>
      <c r="I274" s="12">
        <f t="shared" si="8"/>
        <v>156.82040196583193</v>
      </c>
      <c r="J274" s="13">
        <f t="shared" si="9"/>
        <v>0.13805775468936887</v>
      </c>
    </row>
    <row r="275" spans="1:10" x14ac:dyDescent="0.35">
      <c r="A275" s="3">
        <v>50938</v>
      </c>
      <c r="B275" s="3">
        <v>187574</v>
      </c>
      <c r="C275" s="18">
        <v>1018</v>
      </c>
      <c r="D275" s="18">
        <v>1018</v>
      </c>
      <c r="E275" s="19">
        <v>340.74504774352198</v>
      </c>
      <c r="F275" s="19">
        <v>368.19582680962702</v>
      </c>
      <c r="G275" s="12">
        <f>E275/Combined_Summary!$B$23</f>
        <v>1362.9801909740879</v>
      </c>
      <c r="H275" s="12">
        <f>F275/Combined_Summary!$B$23</f>
        <v>1472.7833072385081</v>
      </c>
      <c r="I275" s="12">
        <f t="shared" si="8"/>
        <v>109.80311626442017</v>
      </c>
      <c r="J275" s="13">
        <f t="shared" si="9"/>
        <v>8.0561050697256734E-2</v>
      </c>
    </row>
    <row r="276" spans="1:10" x14ac:dyDescent="0.35">
      <c r="A276" s="3">
        <v>50945</v>
      </c>
      <c r="B276" s="3">
        <v>463314</v>
      </c>
      <c r="C276" s="18">
        <v>234</v>
      </c>
      <c r="D276" s="18">
        <v>234</v>
      </c>
      <c r="E276" s="19">
        <v>353.23225034403998</v>
      </c>
      <c r="F276" s="19">
        <v>392.76863202478103</v>
      </c>
      <c r="G276" s="12">
        <f>E276/Combined_Summary!$B$23</f>
        <v>1412.9290013761599</v>
      </c>
      <c r="H276" s="12">
        <f>F276/Combined_Summary!$B$23</f>
        <v>1571.0745280991241</v>
      </c>
      <c r="I276" s="12">
        <f t="shared" si="8"/>
        <v>158.14552672296418</v>
      </c>
      <c r="J276" s="13">
        <f t="shared" si="9"/>
        <v>0.11192744049342473</v>
      </c>
    </row>
    <row r="277" spans="1:10" x14ac:dyDescent="0.35">
      <c r="A277" s="3">
        <v>50946</v>
      </c>
      <c r="B277" s="3">
        <v>187568</v>
      </c>
      <c r="C277" s="18">
        <v>854</v>
      </c>
      <c r="D277" s="18">
        <v>854</v>
      </c>
      <c r="E277" s="19">
        <v>333.89498192923401</v>
      </c>
      <c r="F277" s="19">
        <v>368.39857933169498</v>
      </c>
      <c r="G277" s="12">
        <f>E277/Combined_Summary!$B$23</f>
        <v>1335.579927716936</v>
      </c>
      <c r="H277" s="12">
        <f>F277/Combined_Summary!$B$23</f>
        <v>1473.5943173267799</v>
      </c>
      <c r="I277" s="12">
        <f t="shared" si="8"/>
        <v>138.01438960984387</v>
      </c>
      <c r="J277" s="13">
        <f t="shared" si="9"/>
        <v>0.10333667551126507</v>
      </c>
    </row>
    <row r="278" spans="1:10" x14ac:dyDescent="0.35">
      <c r="A278" s="3">
        <v>50947</v>
      </c>
      <c r="B278" s="3">
        <v>187579</v>
      </c>
      <c r="C278" s="18">
        <v>807</v>
      </c>
      <c r="D278" s="18">
        <v>807</v>
      </c>
      <c r="E278" s="19">
        <v>352.44547461754303</v>
      </c>
      <c r="F278" s="19">
        <v>386.58689320693099</v>
      </c>
      <c r="G278" s="12">
        <f>E278/Combined_Summary!$B$23</f>
        <v>1409.7818984701721</v>
      </c>
      <c r="H278" s="12">
        <f>F278/Combined_Summary!$B$23</f>
        <v>1546.347572827724</v>
      </c>
      <c r="I278" s="12">
        <f t="shared" si="8"/>
        <v>136.56567435755187</v>
      </c>
      <c r="J278" s="13">
        <f t="shared" si="9"/>
        <v>9.6870072247165609E-2</v>
      </c>
    </row>
    <row r="279" spans="1:10" x14ac:dyDescent="0.35">
      <c r="A279" s="3">
        <v>50948</v>
      </c>
      <c r="B279" s="3">
        <v>187643</v>
      </c>
      <c r="C279" s="18">
        <v>571</v>
      </c>
      <c r="D279" s="18">
        <v>571</v>
      </c>
      <c r="E279" s="19">
        <v>315.23002636537001</v>
      </c>
      <c r="F279" s="19">
        <v>346.84854069858397</v>
      </c>
      <c r="G279" s="12">
        <f>E279/Combined_Summary!$B$23</f>
        <v>1260.92010546148</v>
      </c>
      <c r="H279" s="12">
        <f>F279/Combined_Summary!$B$23</f>
        <v>1387.3941627943359</v>
      </c>
      <c r="I279" s="12">
        <f t="shared" si="8"/>
        <v>126.47405733285586</v>
      </c>
      <c r="J279" s="13">
        <f t="shared" si="9"/>
        <v>0.10030299047897887</v>
      </c>
    </row>
    <row r="280" spans="1:10" x14ac:dyDescent="0.35">
      <c r="A280" s="3">
        <v>50949</v>
      </c>
      <c r="B280" s="3">
        <v>187607</v>
      </c>
      <c r="C280" s="18">
        <v>660</v>
      </c>
      <c r="D280" s="18">
        <v>660</v>
      </c>
      <c r="E280" s="19">
        <v>327.24089075724299</v>
      </c>
      <c r="F280" s="19">
        <v>362.77205315792202</v>
      </c>
      <c r="G280" s="12">
        <f>E280/Combined_Summary!$B$23</f>
        <v>1308.963563028972</v>
      </c>
      <c r="H280" s="12">
        <f>F280/Combined_Summary!$B$23</f>
        <v>1451.0882126316881</v>
      </c>
      <c r="I280" s="12">
        <f t="shared" si="8"/>
        <v>142.12464960271609</v>
      </c>
      <c r="J280" s="13">
        <f t="shared" si="9"/>
        <v>0.10857800294596158</v>
      </c>
    </row>
    <row r="281" spans="1:10" x14ac:dyDescent="0.35">
      <c r="A281" s="3">
        <v>50961</v>
      </c>
      <c r="B281" s="3">
        <v>182520</v>
      </c>
      <c r="C281" s="18">
        <v>445</v>
      </c>
      <c r="D281" s="18">
        <v>445</v>
      </c>
      <c r="E281" s="19">
        <v>340.39317398071302</v>
      </c>
      <c r="F281" s="19">
        <v>367.38281030547802</v>
      </c>
      <c r="G281" s="12">
        <f>E281/Combined_Summary!$B$23</f>
        <v>1361.5726959228521</v>
      </c>
      <c r="H281" s="12">
        <f>F281/Combined_Summary!$B$23</f>
        <v>1469.5312412219121</v>
      </c>
      <c r="I281" s="12">
        <f t="shared" si="8"/>
        <v>107.95854529906001</v>
      </c>
      <c r="J281" s="13">
        <f t="shared" si="9"/>
        <v>7.928959329335511E-2</v>
      </c>
    </row>
    <row r="282" spans="1:10" x14ac:dyDescent="0.35">
      <c r="A282" s="3">
        <v>50962</v>
      </c>
      <c r="B282" s="3">
        <v>187640</v>
      </c>
      <c r="C282" s="18">
        <v>537</v>
      </c>
      <c r="D282" s="18">
        <v>537</v>
      </c>
      <c r="E282" s="19">
        <v>349.34396267114897</v>
      </c>
      <c r="F282" s="19">
        <v>382.33317256195801</v>
      </c>
      <c r="G282" s="12">
        <f>E282/Combined_Summary!$B$23</f>
        <v>1397.3758506845959</v>
      </c>
      <c r="H282" s="12">
        <f>F282/Combined_Summary!$B$23</f>
        <v>1529.332690247832</v>
      </c>
      <c r="I282" s="12">
        <f t="shared" si="8"/>
        <v>131.95683956323614</v>
      </c>
      <c r="J282" s="13">
        <f t="shared" si="9"/>
        <v>9.4431887812136198E-2</v>
      </c>
    </row>
    <row r="283" spans="1:10" x14ac:dyDescent="0.35">
      <c r="A283" s="3">
        <v>50963</v>
      </c>
      <c r="B283" s="3">
        <v>187641</v>
      </c>
      <c r="C283" s="18">
        <v>574</v>
      </c>
      <c r="D283" s="18">
        <v>574</v>
      </c>
      <c r="E283" s="19">
        <v>321.04416813335399</v>
      </c>
      <c r="F283" s="19">
        <v>357.162678868098</v>
      </c>
      <c r="G283" s="12">
        <f>E283/Combined_Summary!$B$23</f>
        <v>1284.176672533416</v>
      </c>
      <c r="H283" s="12">
        <f>F283/Combined_Summary!$B$23</f>
        <v>1428.650715472392</v>
      </c>
      <c r="I283" s="12">
        <f t="shared" si="8"/>
        <v>144.47404293897603</v>
      </c>
      <c r="J283" s="13">
        <f t="shared" si="9"/>
        <v>0.11250324509785598</v>
      </c>
    </row>
    <row r="284" spans="1:10" x14ac:dyDescent="0.35">
      <c r="A284" s="3">
        <v>50981</v>
      </c>
      <c r="B284" s="3">
        <v>187427</v>
      </c>
      <c r="C284" s="18">
        <v>288</v>
      </c>
      <c r="D284" s="18">
        <v>288</v>
      </c>
      <c r="E284" s="19">
        <v>293.37425225310898</v>
      </c>
      <c r="F284" s="19">
        <v>343.89335348870998</v>
      </c>
      <c r="G284" s="12">
        <f>E284/Combined_Summary!$B$23</f>
        <v>1173.4970090124359</v>
      </c>
      <c r="H284" s="12">
        <f>F284/Combined_Summary!$B$23</f>
        <v>1375.5734139548399</v>
      </c>
      <c r="I284" s="12">
        <f t="shared" si="8"/>
        <v>202.076404942404</v>
      </c>
      <c r="J284" s="13">
        <f t="shared" si="9"/>
        <v>0.17220018746572069</v>
      </c>
    </row>
    <row r="285" spans="1:10" x14ac:dyDescent="0.35">
      <c r="A285" s="3">
        <v>50982</v>
      </c>
      <c r="B285" s="3">
        <v>187436</v>
      </c>
      <c r="C285" s="18">
        <v>540</v>
      </c>
      <c r="D285" s="18">
        <v>540</v>
      </c>
      <c r="E285" s="19">
        <v>353.00028422320298</v>
      </c>
      <c r="F285" s="19">
        <v>376.75825807076899</v>
      </c>
      <c r="G285" s="12">
        <f>E285/Combined_Summary!$B$23</f>
        <v>1412.0011368928119</v>
      </c>
      <c r="H285" s="12">
        <f>F285/Combined_Summary!$B$23</f>
        <v>1507.033032283076</v>
      </c>
      <c r="I285" s="12">
        <f t="shared" si="8"/>
        <v>95.031895390264026</v>
      </c>
      <c r="J285" s="13">
        <f t="shared" si="9"/>
        <v>6.7302987871091291E-2</v>
      </c>
    </row>
    <row r="286" spans="1:10" x14ac:dyDescent="0.35">
      <c r="A286" s="3">
        <v>51003</v>
      </c>
      <c r="B286" s="3">
        <v>187429</v>
      </c>
      <c r="C286" s="18">
        <v>422</v>
      </c>
      <c r="D286" s="18">
        <v>422</v>
      </c>
      <c r="E286" s="19">
        <v>323.127911771078</v>
      </c>
      <c r="F286" s="19">
        <v>356.35798898127399</v>
      </c>
      <c r="G286" s="12">
        <f>E286/Combined_Summary!$B$23</f>
        <v>1292.511647084312</v>
      </c>
      <c r="H286" s="12">
        <f>F286/Combined_Summary!$B$23</f>
        <v>1425.431955925096</v>
      </c>
      <c r="I286" s="12">
        <f t="shared" si="8"/>
        <v>132.92030884078395</v>
      </c>
      <c r="J286" s="13">
        <f t="shared" si="9"/>
        <v>0.10283877065296063</v>
      </c>
    </row>
    <row r="287" spans="1:10" x14ac:dyDescent="0.35">
      <c r="A287" s="3">
        <v>51004</v>
      </c>
      <c r="B287" s="3">
        <v>188666</v>
      </c>
      <c r="C287" s="18">
        <v>632</v>
      </c>
      <c r="D287" s="18">
        <v>632</v>
      </c>
      <c r="E287" s="19">
        <v>339.52733404425101</v>
      </c>
      <c r="F287" s="19">
        <v>369.265595158444</v>
      </c>
      <c r="G287" s="12">
        <f>E287/Combined_Summary!$B$23</f>
        <v>1358.109336177004</v>
      </c>
      <c r="H287" s="12">
        <f>F287/Combined_Summary!$B$23</f>
        <v>1477.062380633776</v>
      </c>
      <c r="I287" s="12">
        <f t="shared" si="8"/>
        <v>118.95304445677198</v>
      </c>
      <c r="J287" s="13">
        <f t="shared" si="9"/>
        <v>8.7587237115693231E-2</v>
      </c>
    </row>
    <row r="288" spans="1:10" x14ac:dyDescent="0.35">
      <c r="A288" s="3">
        <v>51005</v>
      </c>
      <c r="B288" s="3">
        <v>31325</v>
      </c>
      <c r="C288" s="18">
        <v>2374</v>
      </c>
      <c r="D288" s="18">
        <v>2374</v>
      </c>
      <c r="E288" s="19">
        <v>318.019676418995</v>
      </c>
      <c r="F288" s="19">
        <v>347.66963753382902</v>
      </c>
      <c r="G288" s="12">
        <f>E288/Combined_Summary!$B$23</f>
        <v>1272.07870567598</v>
      </c>
      <c r="H288" s="12">
        <f>F288/Combined_Summary!$B$23</f>
        <v>1390.6785501353161</v>
      </c>
      <c r="I288" s="12">
        <f t="shared" si="8"/>
        <v>118.59984445933605</v>
      </c>
      <c r="J288" s="13">
        <f t="shared" si="9"/>
        <v>9.32331025825264E-2</v>
      </c>
    </row>
    <row r="289" spans="1:10" x14ac:dyDescent="0.35">
      <c r="A289" s="3">
        <v>51006</v>
      </c>
      <c r="B289" s="3">
        <v>638060</v>
      </c>
      <c r="C289" s="18">
        <v>16</v>
      </c>
      <c r="D289" s="18">
        <v>16</v>
      </c>
      <c r="E289" s="19">
        <v>351.41061496734602</v>
      </c>
      <c r="F289" s="19">
        <v>395.07295322418202</v>
      </c>
      <c r="G289" s="12">
        <f>E289/Combined_Summary!$B$23</f>
        <v>1405.6424598693841</v>
      </c>
      <c r="H289" s="12">
        <f>F289/Combined_Summary!$B$23</f>
        <v>1580.2918128967281</v>
      </c>
      <c r="I289" s="12">
        <f t="shared" si="8"/>
        <v>174.64935302734398</v>
      </c>
      <c r="J289" s="13">
        <f t="shared" si="9"/>
        <v>0.12424877450242421</v>
      </c>
    </row>
    <row r="290" spans="1:10" x14ac:dyDescent="0.35">
      <c r="A290" s="3">
        <v>51027</v>
      </c>
      <c r="B290" s="3">
        <v>180964</v>
      </c>
      <c r="C290" s="18">
        <v>498</v>
      </c>
      <c r="D290" s="18">
        <v>498</v>
      </c>
      <c r="E290" s="19">
        <v>359.02468469152501</v>
      </c>
      <c r="F290" s="19">
        <v>391.50081223943602</v>
      </c>
      <c r="G290" s="12">
        <f>E290/Combined_Summary!$B$23</f>
        <v>1436.0987387661</v>
      </c>
      <c r="H290" s="12">
        <f>F290/Combined_Summary!$B$23</f>
        <v>1566.0032489577441</v>
      </c>
      <c r="I290" s="12">
        <f t="shared" si="8"/>
        <v>129.90451019164402</v>
      </c>
      <c r="J290" s="13">
        <f t="shared" si="9"/>
        <v>9.0456531076169827E-2</v>
      </c>
    </row>
    <row r="291" spans="1:10" x14ac:dyDescent="0.35">
      <c r="A291" s="3">
        <v>51028</v>
      </c>
      <c r="B291" s="3">
        <v>180963</v>
      </c>
      <c r="C291" s="18">
        <v>439</v>
      </c>
      <c r="D291" s="18">
        <v>439</v>
      </c>
      <c r="E291" s="19">
        <v>359.466193909526</v>
      </c>
      <c r="F291" s="19">
        <v>381.903570292479</v>
      </c>
      <c r="G291" s="12">
        <f>E291/Combined_Summary!$B$23</f>
        <v>1437.864775638104</v>
      </c>
      <c r="H291" s="12">
        <f>F291/Combined_Summary!$B$23</f>
        <v>1527.614281169916</v>
      </c>
      <c r="I291" s="12">
        <f t="shared" si="8"/>
        <v>89.749505531812019</v>
      </c>
      <c r="J291" s="13">
        <f t="shared" si="9"/>
        <v>6.2418599476423267E-2</v>
      </c>
    </row>
    <row r="292" spans="1:10" x14ac:dyDescent="0.35">
      <c r="A292" s="3">
        <v>51029</v>
      </c>
      <c r="B292" s="3">
        <v>188664</v>
      </c>
      <c r="C292" s="18">
        <v>666</v>
      </c>
      <c r="D292" s="18">
        <v>666</v>
      </c>
      <c r="E292" s="19">
        <v>346.71806640166801</v>
      </c>
      <c r="F292" s="19">
        <v>375.94226756969402</v>
      </c>
      <c r="G292" s="12">
        <f>E292/Combined_Summary!$B$23</f>
        <v>1386.872265606672</v>
      </c>
      <c r="H292" s="12">
        <f>F292/Combined_Summary!$B$23</f>
        <v>1503.7690702787761</v>
      </c>
      <c r="I292" s="12">
        <f t="shared" si="8"/>
        <v>116.89680467210405</v>
      </c>
      <c r="J292" s="13">
        <f t="shared" si="9"/>
        <v>8.4288083027580646E-2</v>
      </c>
    </row>
    <row r="293" spans="1:10" x14ac:dyDescent="0.35">
      <c r="A293" s="3">
        <v>51046</v>
      </c>
      <c r="B293" s="3">
        <v>182473</v>
      </c>
      <c r="C293" s="18">
        <v>602</v>
      </c>
      <c r="D293" s="18">
        <v>602</v>
      </c>
      <c r="E293" s="19">
        <v>361.09466349959803</v>
      </c>
      <c r="F293" s="19">
        <v>388.10220500401101</v>
      </c>
      <c r="G293" s="12">
        <f>E293/Combined_Summary!$B$23</f>
        <v>1444.3786539983921</v>
      </c>
      <c r="H293" s="12">
        <f>F293/Combined_Summary!$B$23</f>
        <v>1552.408820016044</v>
      </c>
      <c r="I293" s="12">
        <f t="shared" si="8"/>
        <v>108.03016601765194</v>
      </c>
      <c r="J293" s="13">
        <f t="shared" si="9"/>
        <v>7.479352157316789E-2</v>
      </c>
    </row>
    <row r="294" spans="1:10" x14ac:dyDescent="0.35">
      <c r="A294" s="3">
        <v>51060</v>
      </c>
      <c r="B294" s="3">
        <v>180949</v>
      </c>
      <c r="C294" s="18">
        <v>633</v>
      </c>
      <c r="D294" s="18">
        <v>633</v>
      </c>
      <c r="E294" s="19">
        <v>349.57983966122299</v>
      </c>
      <c r="F294" s="19">
        <v>369.37636094899398</v>
      </c>
      <c r="G294" s="12">
        <f>E294/Combined_Summary!$B$23</f>
        <v>1398.319358644892</v>
      </c>
      <c r="H294" s="12">
        <f>F294/Combined_Summary!$B$23</f>
        <v>1477.5054437959759</v>
      </c>
      <c r="I294" s="12">
        <f t="shared" si="8"/>
        <v>79.186085151083944</v>
      </c>
      <c r="J294" s="13">
        <f t="shared" si="9"/>
        <v>5.6629470701044286E-2</v>
      </c>
    </row>
    <row r="295" spans="1:10" x14ac:dyDescent="0.35">
      <c r="A295" s="3">
        <v>51061</v>
      </c>
      <c r="B295" s="3">
        <v>180960</v>
      </c>
      <c r="C295" s="18">
        <v>488</v>
      </c>
      <c r="D295" s="18">
        <v>488</v>
      </c>
      <c r="E295" s="19">
        <v>340.937320115136</v>
      </c>
      <c r="F295" s="19">
        <v>366.13402003929298</v>
      </c>
      <c r="G295" s="12">
        <f>E295/Combined_Summary!$B$23</f>
        <v>1363.749280460544</v>
      </c>
      <c r="H295" s="12">
        <f>F295/Combined_Summary!$B$23</f>
        <v>1464.5360801571719</v>
      </c>
      <c r="I295" s="12">
        <f t="shared" si="8"/>
        <v>100.7867996966279</v>
      </c>
      <c r="J295" s="13">
        <f t="shared" si="9"/>
        <v>7.3904200090644051E-2</v>
      </c>
    </row>
    <row r="296" spans="1:10" x14ac:dyDescent="0.35">
      <c r="A296" s="3">
        <v>51062</v>
      </c>
      <c r="B296" s="3">
        <v>188679</v>
      </c>
      <c r="C296" s="18">
        <v>675</v>
      </c>
      <c r="D296" s="18">
        <v>675</v>
      </c>
      <c r="E296" s="19">
        <v>358.70071568241798</v>
      </c>
      <c r="F296" s="19">
        <v>382.886429918077</v>
      </c>
      <c r="G296" s="12">
        <f>E296/Combined_Summary!$B$23</f>
        <v>1434.8028627296719</v>
      </c>
      <c r="H296" s="12">
        <f>F296/Combined_Summary!$B$23</f>
        <v>1531.545719672308</v>
      </c>
      <c r="I296" s="12">
        <f t="shared" si="8"/>
        <v>96.742856942636081</v>
      </c>
      <c r="J296" s="13">
        <f t="shared" si="9"/>
        <v>6.7425887873254958E-2</v>
      </c>
    </row>
    <row r="297" spans="1:10" x14ac:dyDescent="0.35">
      <c r="A297" s="3">
        <v>51063</v>
      </c>
      <c r="B297" s="3">
        <v>188671</v>
      </c>
      <c r="C297" s="18">
        <v>547</v>
      </c>
      <c r="D297" s="18">
        <v>547</v>
      </c>
      <c r="E297" s="19">
        <v>349.45015815581399</v>
      </c>
      <c r="F297" s="19">
        <v>375.33198056404098</v>
      </c>
      <c r="G297" s="12">
        <f>E297/Combined_Summary!$B$23</f>
        <v>1397.800632623256</v>
      </c>
      <c r="H297" s="12">
        <f>F297/Combined_Summary!$B$23</f>
        <v>1501.3279222561639</v>
      </c>
      <c r="I297" s="12">
        <f t="shared" si="8"/>
        <v>103.52728963290792</v>
      </c>
      <c r="J297" s="13">
        <f t="shared" si="9"/>
        <v>7.4064417497521087E-2</v>
      </c>
    </row>
    <row r="298" spans="1:10" x14ac:dyDescent="0.35">
      <c r="A298" s="3">
        <v>51064</v>
      </c>
      <c r="B298" s="3">
        <v>638061</v>
      </c>
      <c r="C298" s="18">
        <v>16</v>
      </c>
      <c r="D298" s="18">
        <v>16</v>
      </c>
      <c r="E298" s="19">
        <v>332.22084999084501</v>
      </c>
      <c r="F298" s="19">
        <v>355.47227859497099</v>
      </c>
      <c r="G298" s="12">
        <f>E298/Combined_Summary!$B$23</f>
        <v>1328.88339996338</v>
      </c>
      <c r="H298" s="12">
        <f>F298/Combined_Summary!$B$23</f>
        <v>1421.8891143798839</v>
      </c>
      <c r="I298" s="12">
        <f t="shared" si="8"/>
        <v>93.005714416503906</v>
      </c>
      <c r="J298" s="13">
        <f t="shared" si="9"/>
        <v>6.998786682041995E-2</v>
      </c>
    </row>
    <row r="299" spans="1:10" x14ac:dyDescent="0.35">
      <c r="A299" s="3">
        <v>51079</v>
      </c>
      <c r="B299" s="3">
        <v>180945</v>
      </c>
      <c r="C299" s="18">
        <v>315</v>
      </c>
      <c r="D299" s="18">
        <v>315</v>
      </c>
      <c r="E299" s="19">
        <v>399.528114427839</v>
      </c>
      <c r="F299" s="19">
        <v>417.98997051905098</v>
      </c>
      <c r="G299" s="12">
        <f>E299/Combined_Summary!$B$23</f>
        <v>1598.112457711356</v>
      </c>
      <c r="H299" s="12">
        <f>F299/Combined_Summary!$B$23</f>
        <v>1671.9598820762039</v>
      </c>
      <c r="I299" s="12">
        <f t="shared" si="8"/>
        <v>73.847424364847939</v>
      </c>
      <c r="J299" s="13">
        <f t="shared" si="9"/>
        <v>4.6209153810492308E-2</v>
      </c>
    </row>
    <row r="300" spans="1:10" x14ac:dyDescent="0.35">
      <c r="A300" s="3">
        <v>51080</v>
      </c>
      <c r="B300" s="3">
        <v>180983</v>
      </c>
      <c r="C300" s="18">
        <v>877</v>
      </c>
      <c r="D300" s="18">
        <v>877</v>
      </c>
      <c r="E300" s="19">
        <v>363.68345093156199</v>
      </c>
      <c r="F300" s="19">
        <v>386.48457169396897</v>
      </c>
      <c r="G300" s="12">
        <f>E300/Combined_Summary!$B$23</f>
        <v>1454.733803726248</v>
      </c>
      <c r="H300" s="12">
        <f>F300/Combined_Summary!$B$23</f>
        <v>1545.9382867758759</v>
      </c>
      <c r="I300" s="12">
        <f t="shared" si="8"/>
        <v>91.204483049627925</v>
      </c>
      <c r="J300" s="13">
        <f t="shared" si="9"/>
        <v>6.269496372189258E-2</v>
      </c>
    </row>
    <row r="301" spans="1:10" x14ac:dyDescent="0.35">
      <c r="A301" s="3">
        <v>51081</v>
      </c>
      <c r="B301" s="3">
        <v>635073</v>
      </c>
      <c r="C301" s="18">
        <v>16</v>
      </c>
      <c r="D301" s="18">
        <v>16</v>
      </c>
      <c r="E301" s="19">
        <v>343.87544631958002</v>
      </c>
      <c r="F301" s="19">
        <v>356.16765785217302</v>
      </c>
      <c r="G301" s="12">
        <f>E301/Combined_Summary!$B$23</f>
        <v>1375.5017852783201</v>
      </c>
      <c r="H301" s="12">
        <f>F301/Combined_Summary!$B$23</f>
        <v>1424.6706314086921</v>
      </c>
      <c r="I301" s="12">
        <f t="shared" si="8"/>
        <v>49.168846130372003</v>
      </c>
      <c r="J301" s="13">
        <f t="shared" si="9"/>
        <v>3.5746115822323808E-2</v>
      </c>
    </row>
    <row r="302" spans="1:10" x14ac:dyDescent="0.35">
      <c r="A302" s="3">
        <v>51104</v>
      </c>
      <c r="B302" s="3">
        <v>180959</v>
      </c>
      <c r="C302" s="18">
        <v>692</v>
      </c>
      <c r="D302" s="18">
        <v>692</v>
      </c>
      <c r="E302" s="19">
        <v>334.39492748238501</v>
      </c>
      <c r="F302" s="19">
        <v>361.23765669806198</v>
      </c>
      <c r="G302" s="12">
        <f>E302/Combined_Summary!$B$23</f>
        <v>1337.5797099295401</v>
      </c>
      <c r="H302" s="12">
        <f>F302/Combined_Summary!$B$23</f>
        <v>1444.9506267922479</v>
      </c>
      <c r="I302" s="12">
        <f t="shared" si="8"/>
        <v>107.37091686270787</v>
      </c>
      <c r="J302" s="13">
        <f t="shared" si="9"/>
        <v>8.0272537079950079E-2</v>
      </c>
    </row>
    <row r="303" spans="1:10" x14ac:dyDescent="0.35">
      <c r="A303" s="3">
        <v>51105</v>
      </c>
      <c r="B303" s="3">
        <v>187419</v>
      </c>
      <c r="C303" s="18">
        <v>785</v>
      </c>
      <c r="D303" s="18">
        <v>785</v>
      </c>
      <c r="E303" s="19">
        <v>332.56784868179602</v>
      </c>
      <c r="F303" s="19">
        <v>364.86132956340799</v>
      </c>
      <c r="G303" s="12">
        <f>E303/Combined_Summary!$B$23</f>
        <v>1330.2713947271841</v>
      </c>
      <c r="H303" s="12">
        <f>F303/Combined_Summary!$B$23</f>
        <v>1459.445318253632</v>
      </c>
      <c r="I303" s="12">
        <f t="shared" si="8"/>
        <v>129.17392352644788</v>
      </c>
      <c r="J303" s="13">
        <f t="shared" si="9"/>
        <v>9.710343621493811E-2</v>
      </c>
    </row>
    <row r="304" spans="1:10" x14ac:dyDescent="0.35">
      <c r="A304" s="3">
        <v>51106</v>
      </c>
      <c r="B304" s="3">
        <v>187683</v>
      </c>
      <c r="C304" s="18">
        <v>530</v>
      </c>
      <c r="D304" s="18">
        <v>530</v>
      </c>
      <c r="E304" s="19">
        <v>354.04520589000799</v>
      </c>
      <c r="F304" s="19">
        <v>380.29852790112801</v>
      </c>
      <c r="G304" s="12">
        <f>E304/Combined_Summary!$B$23</f>
        <v>1416.180823560032</v>
      </c>
      <c r="H304" s="12">
        <f>F304/Combined_Summary!$B$23</f>
        <v>1521.194111604512</v>
      </c>
      <c r="I304" s="12">
        <f t="shared" si="8"/>
        <v>105.01328804448008</v>
      </c>
      <c r="J304" s="13">
        <f t="shared" si="9"/>
        <v>7.415245729743393E-2</v>
      </c>
    </row>
    <row r="305" spans="1:10" x14ac:dyDescent="0.35">
      <c r="A305" s="3">
        <v>51126</v>
      </c>
      <c r="B305" s="3">
        <v>181016</v>
      </c>
      <c r="C305" s="18">
        <v>654</v>
      </c>
      <c r="D305" s="18">
        <v>654</v>
      </c>
      <c r="E305" s="19">
        <v>366.03309378201101</v>
      </c>
      <c r="F305" s="19">
        <v>393.26857328269102</v>
      </c>
      <c r="G305" s="12">
        <f>E305/Combined_Summary!$B$23</f>
        <v>1464.132375128044</v>
      </c>
      <c r="H305" s="12">
        <f>F305/Combined_Summary!$B$23</f>
        <v>1573.0742931307641</v>
      </c>
      <c r="I305" s="12">
        <f t="shared" si="8"/>
        <v>108.94191800272006</v>
      </c>
      <c r="J305" s="13">
        <f t="shared" si="9"/>
        <v>7.440715051000267E-2</v>
      </c>
    </row>
    <row r="306" spans="1:10" x14ac:dyDescent="0.35">
      <c r="A306" s="3">
        <v>51127</v>
      </c>
      <c r="B306" s="3">
        <v>594064</v>
      </c>
      <c r="C306" s="18">
        <v>16</v>
      </c>
      <c r="D306" s="18">
        <v>16</v>
      </c>
      <c r="E306" s="19">
        <v>397.92267417907698</v>
      </c>
      <c r="F306" s="19">
        <v>418.68168449401901</v>
      </c>
      <c r="G306" s="12">
        <f>E306/Combined_Summary!$B$23</f>
        <v>1591.6906967163079</v>
      </c>
      <c r="H306" s="12">
        <f>F306/Combined_Summary!$B$23</f>
        <v>1674.726737976076</v>
      </c>
      <c r="I306" s="12">
        <f t="shared" si="8"/>
        <v>83.036041259768126</v>
      </c>
      <c r="J306" s="13">
        <f t="shared" si="9"/>
        <v>5.2168452973352965E-2</v>
      </c>
    </row>
    <row r="307" spans="1:10" x14ac:dyDescent="0.35">
      <c r="A307" s="3">
        <v>51128</v>
      </c>
      <c r="B307" s="3">
        <v>181021</v>
      </c>
      <c r="C307" s="18">
        <v>589</v>
      </c>
      <c r="D307" s="18">
        <v>589</v>
      </c>
      <c r="E307" s="19">
        <v>331.51571339864699</v>
      </c>
      <c r="F307" s="19">
        <v>355.522301873044</v>
      </c>
      <c r="G307" s="12">
        <f>E307/Combined_Summary!$B$23</f>
        <v>1326.062853594588</v>
      </c>
      <c r="H307" s="12">
        <f>F307/Combined_Summary!$B$23</f>
        <v>1422.089207492176</v>
      </c>
      <c r="I307" s="12">
        <f t="shared" si="8"/>
        <v>96.026353897588024</v>
      </c>
      <c r="J307" s="13">
        <f t="shared" si="9"/>
        <v>7.241463226067095E-2</v>
      </c>
    </row>
    <row r="308" spans="1:10" x14ac:dyDescent="0.35">
      <c r="A308" s="3">
        <v>51129</v>
      </c>
      <c r="B308" s="3">
        <v>182385</v>
      </c>
      <c r="C308" s="18">
        <v>640</v>
      </c>
      <c r="D308" s="18">
        <v>640</v>
      </c>
      <c r="E308" s="19">
        <v>340.82019151449202</v>
      </c>
      <c r="F308" s="19">
        <v>364.183687591553</v>
      </c>
      <c r="G308" s="12">
        <f>E308/Combined_Summary!$B$23</f>
        <v>1363.2807660579681</v>
      </c>
      <c r="H308" s="12">
        <f>F308/Combined_Summary!$B$23</f>
        <v>1456.734750366212</v>
      </c>
      <c r="I308" s="12">
        <f t="shared" si="8"/>
        <v>93.453984308243889</v>
      </c>
      <c r="J308" s="13">
        <f t="shared" si="9"/>
        <v>6.8550797924387452E-2</v>
      </c>
    </row>
    <row r="309" spans="1:10" x14ac:dyDescent="0.35">
      <c r="A309" s="3">
        <v>51147</v>
      </c>
      <c r="B309" s="3">
        <v>181026</v>
      </c>
      <c r="C309" s="18">
        <v>564</v>
      </c>
      <c r="D309" s="18">
        <v>564</v>
      </c>
      <c r="E309" s="19">
        <v>333.03526315621502</v>
      </c>
      <c r="F309" s="19">
        <v>361.70842864665599</v>
      </c>
      <c r="G309" s="12">
        <f>E309/Combined_Summary!$B$23</f>
        <v>1332.1410526248601</v>
      </c>
      <c r="H309" s="12">
        <f>F309/Combined_Summary!$B$23</f>
        <v>1446.833714586624</v>
      </c>
      <c r="I309" s="12">
        <f t="shared" si="8"/>
        <v>114.69266196176386</v>
      </c>
      <c r="J309" s="13">
        <f t="shared" si="9"/>
        <v>8.6096484854792696E-2</v>
      </c>
    </row>
    <row r="310" spans="1:10" x14ac:dyDescent="0.35">
      <c r="A310" s="3">
        <v>51148</v>
      </c>
      <c r="B310" s="3">
        <v>182388</v>
      </c>
      <c r="C310" s="18">
        <v>535</v>
      </c>
      <c r="D310" s="18">
        <v>535</v>
      </c>
      <c r="E310" s="19">
        <v>328.06103981945</v>
      </c>
      <c r="F310" s="19">
        <v>351.909749282409</v>
      </c>
      <c r="G310" s="12">
        <f>E310/Combined_Summary!$B$23</f>
        <v>1312.2441592778</v>
      </c>
      <c r="H310" s="12">
        <f>F310/Combined_Summary!$B$23</f>
        <v>1407.638997129636</v>
      </c>
      <c r="I310" s="12">
        <f t="shared" si="8"/>
        <v>95.394837851835973</v>
      </c>
      <c r="J310" s="13">
        <f t="shared" si="9"/>
        <v>7.2695951570732831E-2</v>
      </c>
    </row>
    <row r="311" spans="1:10" x14ac:dyDescent="0.35">
      <c r="A311" s="3">
        <v>51149</v>
      </c>
      <c r="B311" s="3">
        <v>182387</v>
      </c>
      <c r="C311" s="18">
        <v>460</v>
      </c>
      <c r="D311" s="18">
        <v>460</v>
      </c>
      <c r="E311" s="19">
        <v>327.677848633476</v>
      </c>
      <c r="F311" s="19">
        <v>358.83689631586498</v>
      </c>
      <c r="G311" s="12">
        <f>E311/Combined_Summary!$B$23</f>
        <v>1310.711394533904</v>
      </c>
      <c r="H311" s="12">
        <f>F311/Combined_Summary!$B$23</f>
        <v>1435.3475852634599</v>
      </c>
      <c r="I311" s="12">
        <f t="shared" si="8"/>
        <v>124.63619072955589</v>
      </c>
      <c r="J311" s="13">
        <f t="shared" si="9"/>
        <v>9.5090491506619718E-2</v>
      </c>
    </row>
    <row r="312" spans="1:10" x14ac:dyDescent="0.35">
      <c r="A312" s="3">
        <v>51150</v>
      </c>
      <c r="B312" s="3">
        <v>187763</v>
      </c>
      <c r="C312" s="18">
        <v>530</v>
      </c>
      <c r="D312" s="18">
        <v>530</v>
      </c>
      <c r="E312" s="19">
        <v>299.64439749807701</v>
      </c>
      <c r="F312" s="19">
        <v>332.79439442472602</v>
      </c>
      <c r="G312" s="12">
        <f>E312/Combined_Summary!$B$23</f>
        <v>1198.577589992308</v>
      </c>
      <c r="H312" s="12">
        <f>F312/Combined_Summary!$B$23</f>
        <v>1331.1775776989041</v>
      </c>
      <c r="I312" s="12">
        <f t="shared" si="8"/>
        <v>132.59998770659604</v>
      </c>
      <c r="J312" s="13">
        <f t="shared" si="9"/>
        <v>0.1106311254388187</v>
      </c>
    </row>
    <row r="313" spans="1:10" x14ac:dyDescent="0.35">
      <c r="A313" s="3">
        <v>51169</v>
      </c>
      <c r="B313" s="3">
        <v>181024</v>
      </c>
      <c r="C313" s="18">
        <v>617</v>
      </c>
      <c r="D313" s="18">
        <v>617</v>
      </c>
      <c r="E313" s="19">
        <v>336.743389024534</v>
      </c>
      <c r="F313" s="19">
        <v>365.66890763540903</v>
      </c>
      <c r="G313" s="12">
        <f>E313/Combined_Summary!$B$23</f>
        <v>1346.973556098136</v>
      </c>
      <c r="H313" s="12">
        <f>F313/Combined_Summary!$B$23</f>
        <v>1462.6756305416361</v>
      </c>
      <c r="I313" s="12">
        <f t="shared" si="8"/>
        <v>115.70207444350012</v>
      </c>
      <c r="J313" s="13">
        <f t="shared" si="9"/>
        <v>8.5897806916612141E-2</v>
      </c>
    </row>
    <row r="314" spans="1:10" x14ac:dyDescent="0.35">
      <c r="A314" s="3">
        <v>51170</v>
      </c>
      <c r="B314" s="3">
        <v>187747</v>
      </c>
      <c r="C314" s="18">
        <v>502</v>
      </c>
      <c r="D314" s="18">
        <v>502</v>
      </c>
      <c r="E314" s="19">
        <v>367.74905401587</v>
      </c>
      <c r="F314" s="19">
        <v>394.72623002861599</v>
      </c>
      <c r="G314" s="12">
        <f>E314/Combined_Summary!$B$23</f>
        <v>1470.99621606348</v>
      </c>
      <c r="H314" s="12">
        <f>F314/Combined_Summary!$B$23</f>
        <v>1578.9049201144639</v>
      </c>
      <c r="I314" s="12">
        <f t="shared" si="8"/>
        <v>107.90870405098394</v>
      </c>
      <c r="J314" s="13">
        <f t="shared" si="9"/>
        <v>7.3357567390456971E-2</v>
      </c>
    </row>
    <row r="315" spans="1:10" x14ac:dyDescent="0.35">
      <c r="A315" s="3">
        <v>51187</v>
      </c>
      <c r="B315" s="3">
        <v>181013</v>
      </c>
      <c r="C315" s="18">
        <v>854</v>
      </c>
      <c r="D315" s="18">
        <v>854</v>
      </c>
      <c r="E315" s="19">
        <v>353.25400271627899</v>
      </c>
      <c r="F315" s="19">
        <v>384.27180981245198</v>
      </c>
      <c r="G315" s="12">
        <f>E315/Combined_Summary!$B$23</f>
        <v>1413.016010865116</v>
      </c>
      <c r="H315" s="12">
        <f>F315/Combined_Summary!$B$23</f>
        <v>1537.0872392498079</v>
      </c>
      <c r="I315" s="12">
        <f t="shared" si="8"/>
        <v>124.07122838469195</v>
      </c>
      <c r="J315" s="13">
        <f t="shared" si="9"/>
        <v>8.7805960746849293E-2</v>
      </c>
    </row>
    <row r="316" spans="1:10" x14ac:dyDescent="0.35">
      <c r="A316" s="3">
        <v>51188</v>
      </c>
      <c r="B316" s="3">
        <v>594063</v>
      </c>
      <c r="C316" s="18">
        <v>16</v>
      </c>
      <c r="D316" s="18">
        <v>16</v>
      </c>
      <c r="E316" s="19">
        <v>389.11033630371099</v>
      </c>
      <c r="F316" s="19">
        <v>448.056859970093</v>
      </c>
      <c r="G316" s="12">
        <f>E316/Combined_Summary!$B$23</f>
        <v>1556.441345214844</v>
      </c>
      <c r="H316" s="12">
        <f>F316/Combined_Summary!$B$23</f>
        <v>1792.227439880372</v>
      </c>
      <c r="I316" s="12">
        <f t="shared" si="8"/>
        <v>235.78609466552803</v>
      </c>
      <c r="J316" s="13">
        <f t="shared" si="9"/>
        <v>0.15149051095978255</v>
      </c>
    </row>
    <row r="317" spans="1:10" x14ac:dyDescent="0.35">
      <c r="A317" s="3">
        <v>51189</v>
      </c>
      <c r="B317" s="3">
        <v>61480</v>
      </c>
      <c r="C317" s="18">
        <v>4729</v>
      </c>
      <c r="D317" s="18">
        <v>4729</v>
      </c>
      <c r="E317" s="19">
        <v>303.56365260485001</v>
      </c>
      <c r="F317" s="19">
        <v>341.39935179315302</v>
      </c>
      <c r="G317" s="12">
        <f>E317/Combined_Summary!$B$23</f>
        <v>1214.2546104194</v>
      </c>
      <c r="H317" s="12">
        <f>F317/Combined_Summary!$B$23</f>
        <v>1365.5974071726121</v>
      </c>
      <c r="I317" s="12">
        <f t="shared" si="8"/>
        <v>151.34279675321204</v>
      </c>
      <c r="J317" s="13">
        <f t="shared" si="9"/>
        <v>0.12463843699217142</v>
      </c>
    </row>
    <row r="318" spans="1:10" x14ac:dyDescent="0.35">
      <c r="A318" s="3">
        <v>51190</v>
      </c>
      <c r="B318" s="3">
        <v>182416</v>
      </c>
      <c r="C318" s="18">
        <v>469</v>
      </c>
      <c r="D318" s="18">
        <v>469</v>
      </c>
      <c r="E318" s="19">
        <v>337.06940974253803</v>
      </c>
      <c r="F318" s="19">
        <v>371.51792289554999</v>
      </c>
      <c r="G318" s="12">
        <f>E318/Combined_Summary!$B$23</f>
        <v>1348.2776389701521</v>
      </c>
      <c r="H318" s="12">
        <f>F318/Combined_Summary!$B$23</f>
        <v>1486.0716915821999</v>
      </c>
      <c r="I318" s="12">
        <f t="shared" si="8"/>
        <v>137.79405261204784</v>
      </c>
      <c r="J318" s="13">
        <f t="shared" si="9"/>
        <v>0.10220005778431387</v>
      </c>
    </row>
    <row r="319" spans="1:10" x14ac:dyDescent="0.35">
      <c r="A319" s="3">
        <v>51191</v>
      </c>
      <c r="B319" s="3">
        <v>568125</v>
      </c>
      <c r="C319" s="18">
        <v>16</v>
      </c>
      <c r="D319" s="18">
        <v>16</v>
      </c>
      <c r="E319" s="19">
        <v>387.61188507080101</v>
      </c>
      <c r="F319" s="19">
        <v>402.00639343261702</v>
      </c>
      <c r="G319" s="12">
        <f>E319/Combined_Summary!$B$23</f>
        <v>1550.447540283204</v>
      </c>
      <c r="H319" s="12">
        <f>F319/Combined_Summary!$B$23</f>
        <v>1608.0255737304681</v>
      </c>
      <c r="I319" s="12">
        <f t="shared" si="8"/>
        <v>57.578033447264033</v>
      </c>
      <c r="J319" s="13">
        <f t="shared" si="9"/>
        <v>3.7136395751091879E-2</v>
      </c>
    </row>
    <row r="320" spans="1:10" x14ac:dyDescent="0.35">
      <c r="A320" s="3">
        <v>51208</v>
      </c>
      <c r="B320" s="3">
        <v>638465</v>
      </c>
      <c r="C320" s="18">
        <v>16</v>
      </c>
      <c r="D320" s="18">
        <v>16</v>
      </c>
      <c r="E320" s="19">
        <v>259.68821144103998</v>
      </c>
      <c r="F320" s="19">
        <v>296.25668334960898</v>
      </c>
      <c r="G320" s="12">
        <f>E320/Combined_Summary!$B$23</f>
        <v>1038.7528457641599</v>
      </c>
      <c r="H320" s="12">
        <f>F320/Combined_Summary!$B$23</f>
        <v>1185.0267333984359</v>
      </c>
      <c r="I320" s="12">
        <f t="shared" si="8"/>
        <v>146.27388763427598</v>
      </c>
      <c r="J320" s="13">
        <f t="shared" si="9"/>
        <v>0.14081683456344171</v>
      </c>
    </row>
    <row r="321" spans="1:10" x14ac:dyDescent="0.35">
      <c r="A321" s="3">
        <v>51209</v>
      </c>
      <c r="B321" s="3">
        <v>187777</v>
      </c>
      <c r="C321" s="18">
        <v>405</v>
      </c>
      <c r="D321" s="18">
        <v>405</v>
      </c>
      <c r="E321" s="19">
        <v>348.85993349051802</v>
      </c>
      <c r="F321" s="19">
        <v>377.919120279948</v>
      </c>
      <c r="G321" s="12">
        <f>E321/Combined_Summary!$B$23</f>
        <v>1395.4397339620721</v>
      </c>
      <c r="H321" s="12">
        <f>F321/Combined_Summary!$B$23</f>
        <v>1511.676481119792</v>
      </c>
      <c r="I321" s="12">
        <f t="shared" si="8"/>
        <v>116.23674715771995</v>
      </c>
      <c r="J321" s="13">
        <f t="shared" si="9"/>
        <v>8.3297575902965687E-2</v>
      </c>
    </row>
    <row r="322" spans="1:10" x14ac:dyDescent="0.35">
      <c r="A322" s="3">
        <v>51210</v>
      </c>
      <c r="B322" s="3">
        <v>570023</v>
      </c>
      <c r="C322" s="18">
        <v>16</v>
      </c>
      <c r="D322" s="18">
        <v>16</v>
      </c>
      <c r="E322" s="19">
        <v>345.516397476196</v>
      </c>
      <c r="F322" s="19">
        <v>356.38292312622099</v>
      </c>
      <c r="G322" s="12">
        <f>E322/Combined_Summary!$B$23</f>
        <v>1382.065589904784</v>
      </c>
      <c r="H322" s="12">
        <f>F322/Combined_Summary!$B$23</f>
        <v>1425.5316925048839</v>
      </c>
      <c r="I322" s="12">
        <f t="shared" ref="I322:I385" si="10">H322-G322</f>
        <v>43.46610260009993</v>
      </c>
      <c r="J322" s="13">
        <f t="shared" ref="J322:J385" si="11">IF(G322=0,"",I322/G322)</f>
        <v>3.1450101151201143E-2</v>
      </c>
    </row>
    <row r="323" spans="1:10" x14ac:dyDescent="0.35">
      <c r="A323" s="3">
        <v>51225</v>
      </c>
      <c r="B323" s="3">
        <v>182508</v>
      </c>
      <c r="C323" s="18">
        <v>543</v>
      </c>
      <c r="D323" s="18">
        <v>543</v>
      </c>
      <c r="E323" s="19">
        <v>344.09730123727098</v>
      </c>
      <c r="F323" s="19">
        <v>364.362017285538</v>
      </c>
      <c r="G323" s="12">
        <f>E323/Combined_Summary!$B$23</f>
        <v>1376.3892049490839</v>
      </c>
      <c r="H323" s="12">
        <f>F323/Combined_Summary!$B$23</f>
        <v>1457.448069142152</v>
      </c>
      <c r="I323" s="12">
        <f t="shared" si="10"/>
        <v>81.058864193068075</v>
      </c>
      <c r="J323" s="13">
        <f t="shared" si="11"/>
        <v>5.889240042104707E-2</v>
      </c>
    </row>
    <row r="324" spans="1:10" x14ac:dyDescent="0.35">
      <c r="A324" s="3">
        <v>51226</v>
      </c>
      <c r="B324" s="3">
        <v>182412</v>
      </c>
      <c r="C324" s="18">
        <v>678</v>
      </c>
      <c r="D324" s="18">
        <v>678</v>
      </c>
      <c r="E324" s="19">
        <v>338.22927490729501</v>
      </c>
      <c r="F324" s="19">
        <v>368.42648445962101</v>
      </c>
      <c r="G324" s="12">
        <f>E324/Combined_Summary!$B$23</f>
        <v>1352.91709962918</v>
      </c>
      <c r="H324" s="12">
        <f>F324/Combined_Summary!$B$23</f>
        <v>1473.705937838484</v>
      </c>
      <c r="I324" s="12">
        <f t="shared" si="10"/>
        <v>120.788838209304</v>
      </c>
      <c r="J324" s="13">
        <f t="shared" si="11"/>
        <v>8.9280295328081016E-2</v>
      </c>
    </row>
    <row r="325" spans="1:10" x14ac:dyDescent="0.35">
      <c r="A325" s="3">
        <v>51227</v>
      </c>
      <c r="B325" s="3">
        <v>187752</v>
      </c>
      <c r="C325" s="18">
        <v>865</v>
      </c>
      <c r="D325" s="18">
        <v>865</v>
      </c>
      <c r="E325" s="19">
        <v>337.80446630929902</v>
      </c>
      <c r="F325" s="19">
        <v>367.69177956994599</v>
      </c>
      <c r="G325" s="12">
        <f>E325/Combined_Summary!$B$23</f>
        <v>1351.2178652371961</v>
      </c>
      <c r="H325" s="12">
        <f>F325/Combined_Summary!$B$23</f>
        <v>1470.767118279784</v>
      </c>
      <c r="I325" s="12">
        <f t="shared" si="10"/>
        <v>119.54925304258791</v>
      </c>
      <c r="J325" s="13">
        <f t="shared" si="11"/>
        <v>8.8475186806090622E-2</v>
      </c>
    </row>
    <row r="326" spans="1:10" x14ac:dyDescent="0.35">
      <c r="A326" s="3">
        <v>51228</v>
      </c>
      <c r="B326" s="3">
        <v>640543</v>
      </c>
      <c r="C326" s="18">
        <v>16</v>
      </c>
      <c r="D326" s="18">
        <v>16</v>
      </c>
      <c r="E326" s="19">
        <v>248.16171455383301</v>
      </c>
      <c r="F326" s="19">
        <v>293.99122047424299</v>
      </c>
      <c r="G326" s="12">
        <f>E326/Combined_Summary!$B$23</f>
        <v>992.64685821533203</v>
      </c>
      <c r="H326" s="12">
        <f>F326/Combined_Summary!$B$23</f>
        <v>1175.964881896972</v>
      </c>
      <c r="I326" s="12">
        <f t="shared" si="10"/>
        <v>183.31802368163994</v>
      </c>
      <c r="J326" s="13">
        <f t="shared" si="11"/>
        <v>0.18467597229011054</v>
      </c>
    </row>
    <row r="327" spans="1:10" x14ac:dyDescent="0.35">
      <c r="A327" s="3">
        <v>51229</v>
      </c>
      <c r="B327" s="3">
        <v>187783</v>
      </c>
      <c r="C327" s="18">
        <v>586</v>
      </c>
      <c r="D327" s="18">
        <v>586</v>
      </c>
      <c r="E327" s="19">
        <v>354.151687713206</v>
      </c>
      <c r="F327" s="19">
        <v>381.49961716323202</v>
      </c>
      <c r="G327" s="12">
        <f>E327/Combined_Summary!$B$23</f>
        <v>1416.606750852824</v>
      </c>
      <c r="H327" s="12">
        <f>F327/Combined_Summary!$B$23</f>
        <v>1525.9984686529281</v>
      </c>
      <c r="I327" s="12">
        <f t="shared" si="10"/>
        <v>109.39171780010406</v>
      </c>
      <c r="J327" s="13">
        <f t="shared" si="11"/>
        <v>7.7220949098434119E-2</v>
      </c>
    </row>
    <row r="328" spans="1:10" x14ac:dyDescent="0.35">
      <c r="A328" s="3">
        <v>51247</v>
      </c>
      <c r="B328" s="3">
        <v>635450</v>
      </c>
      <c r="C328" s="18">
        <v>16</v>
      </c>
      <c r="D328" s="18">
        <v>16</v>
      </c>
      <c r="E328" s="19">
        <v>289.65737152099598</v>
      </c>
      <c r="F328" s="19">
        <v>324.59742164611799</v>
      </c>
      <c r="G328" s="12">
        <f>E328/Combined_Summary!$B$23</f>
        <v>1158.6294860839839</v>
      </c>
      <c r="H328" s="12">
        <f>F328/Combined_Summary!$B$23</f>
        <v>1298.389686584472</v>
      </c>
      <c r="I328" s="12">
        <f t="shared" si="10"/>
        <v>139.76020050048805</v>
      </c>
      <c r="J328" s="13">
        <f t="shared" si="11"/>
        <v>0.12062544772001207</v>
      </c>
    </row>
    <row r="329" spans="1:10" x14ac:dyDescent="0.35">
      <c r="A329" s="3">
        <v>51248</v>
      </c>
      <c r="B329" s="3">
        <v>182410</v>
      </c>
      <c r="C329" s="18">
        <v>618</v>
      </c>
      <c r="D329" s="18">
        <v>618</v>
      </c>
      <c r="E329" s="19">
        <v>345.722253682158</v>
      </c>
      <c r="F329" s="19">
        <v>371.53419376113999</v>
      </c>
      <c r="G329" s="12">
        <f>E329/Combined_Summary!$B$23</f>
        <v>1382.889014728632</v>
      </c>
      <c r="H329" s="12">
        <f>F329/Combined_Summary!$B$23</f>
        <v>1486.13677504456</v>
      </c>
      <c r="I329" s="12">
        <f t="shared" si="10"/>
        <v>103.24776031592796</v>
      </c>
      <c r="J329" s="13">
        <f t="shared" si="11"/>
        <v>7.4660915819183465E-2</v>
      </c>
    </row>
    <row r="330" spans="1:10" x14ac:dyDescent="0.35">
      <c r="A330" s="3">
        <v>51265</v>
      </c>
      <c r="B330" s="3">
        <v>182485</v>
      </c>
      <c r="C330" s="18">
        <v>784</v>
      </c>
      <c r="D330" s="18">
        <v>784</v>
      </c>
      <c r="E330" s="19">
        <v>331.92005634307901</v>
      </c>
      <c r="F330" s="19">
        <v>366.722505384562</v>
      </c>
      <c r="G330" s="12">
        <f>E330/Combined_Summary!$B$23</f>
        <v>1327.680225372316</v>
      </c>
      <c r="H330" s="12">
        <f>F330/Combined_Summary!$B$23</f>
        <v>1466.890021538248</v>
      </c>
      <c r="I330" s="12">
        <f t="shared" si="10"/>
        <v>139.20979616593195</v>
      </c>
      <c r="J330" s="13">
        <f t="shared" si="11"/>
        <v>0.10485190146361779</v>
      </c>
    </row>
    <row r="331" spans="1:10" x14ac:dyDescent="0.35">
      <c r="A331" s="3">
        <v>51266</v>
      </c>
      <c r="B331" s="3">
        <v>182486</v>
      </c>
      <c r="C331" s="18">
        <v>419</v>
      </c>
      <c r="D331" s="18">
        <v>419</v>
      </c>
      <c r="E331" s="19">
        <v>327.774474951988</v>
      </c>
      <c r="F331" s="19">
        <v>364.16649128770501</v>
      </c>
      <c r="G331" s="12">
        <f>E331/Combined_Summary!$B$23</f>
        <v>1311.097899807952</v>
      </c>
      <c r="H331" s="12">
        <f>F331/Combined_Summary!$B$23</f>
        <v>1456.6659651508201</v>
      </c>
      <c r="I331" s="12">
        <f t="shared" si="10"/>
        <v>145.56806534286807</v>
      </c>
      <c r="J331" s="13">
        <f t="shared" si="11"/>
        <v>0.1110276092763101</v>
      </c>
    </row>
    <row r="332" spans="1:10" x14ac:dyDescent="0.35">
      <c r="A332" s="3">
        <v>51267</v>
      </c>
      <c r="B332" s="3">
        <v>182433</v>
      </c>
      <c r="C332" s="18">
        <v>563</v>
      </c>
      <c r="D332" s="18">
        <v>563</v>
      </c>
      <c r="E332" s="19">
        <v>337.615358911653</v>
      </c>
      <c r="F332" s="19">
        <v>366.50454500513399</v>
      </c>
      <c r="G332" s="12">
        <f>E332/Combined_Summary!$B$23</f>
        <v>1350.461435646612</v>
      </c>
      <c r="H332" s="12">
        <f>F332/Combined_Summary!$B$23</f>
        <v>1466.018180020536</v>
      </c>
      <c r="I332" s="12">
        <f t="shared" si="10"/>
        <v>115.55674437392395</v>
      </c>
      <c r="J332" s="13">
        <f t="shared" si="11"/>
        <v>8.5568340808335946E-2</v>
      </c>
    </row>
    <row r="333" spans="1:10" x14ac:dyDescent="0.35">
      <c r="A333" s="3">
        <v>51268</v>
      </c>
      <c r="B333" s="3">
        <v>182404</v>
      </c>
      <c r="C333" s="18">
        <v>725</v>
      </c>
      <c r="D333" s="18">
        <v>725</v>
      </c>
      <c r="E333" s="19">
        <v>306.39404098510698</v>
      </c>
      <c r="F333" s="19">
        <v>350.164223832755</v>
      </c>
      <c r="G333" s="12">
        <f>E333/Combined_Summary!$B$23</f>
        <v>1225.5761639404279</v>
      </c>
      <c r="H333" s="12">
        <f>F333/Combined_Summary!$B$23</f>
        <v>1400.65689533102</v>
      </c>
      <c r="I333" s="12">
        <f t="shared" si="10"/>
        <v>175.08073139059206</v>
      </c>
      <c r="J333" s="13">
        <f t="shared" si="11"/>
        <v>0.14285585550854618</v>
      </c>
    </row>
    <row r="334" spans="1:10" x14ac:dyDescent="0.35">
      <c r="A334" s="3">
        <v>51284</v>
      </c>
      <c r="B334" s="3">
        <v>182402</v>
      </c>
      <c r="C334" s="18">
        <v>515</v>
      </c>
      <c r="D334" s="18">
        <v>515</v>
      </c>
      <c r="E334" s="19">
        <v>331.521741633739</v>
      </c>
      <c r="F334" s="19">
        <v>356.07506820530602</v>
      </c>
      <c r="G334" s="12">
        <f>E334/Combined_Summary!$B$23</f>
        <v>1326.086966534956</v>
      </c>
      <c r="H334" s="12">
        <f>F334/Combined_Summary!$B$23</f>
        <v>1424.3002728212241</v>
      </c>
      <c r="I334" s="12">
        <f t="shared" si="10"/>
        <v>98.213306286268107</v>
      </c>
      <c r="J334" s="13">
        <f t="shared" si="11"/>
        <v>7.406249270581243E-2</v>
      </c>
    </row>
    <row r="335" spans="1:10" x14ac:dyDescent="0.35">
      <c r="A335" s="3">
        <v>51285</v>
      </c>
      <c r="B335" s="3">
        <v>462841</v>
      </c>
      <c r="C335" s="18">
        <v>739</v>
      </c>
      <c r="D335" s="18">
        <v>739</v>
      </c>
      <c r="E335" s="19">
        <v>290.136769781255</v>
      </c>
      <c r="F335" s="19">
        <v>333.766364813819</v>
      </c>
      <c r="G335" s="12">
        <f>E335/Combined_Summary!$B$23</f>
        <v>1160.54707912502</v>
      </c>
      <c r="H335" s="12">
        <f>F335/Combined_Summary!$B$23</f>
        <v>1335.065459255276</v>
      </c>
      <c r="I335" s="12">
        <f t="shared" si="10"/>
        <v>174.51838013025599</v>
      </c>
      <c r="J335" s="13">
        <f t="shared" si="11"/>
        <v>0.15037595912251311</v>
      </c>
    </row>
    <row r="336" spans="1:10" x14ac:dyDescent="0.35">
      <c r="A336" s="3">
        <v>51303</v>
      </c>
      <c r="B336" s="3">
        <v>182504</v>
      </c>
      <c r="C336" s="18">
        <v>666</v>
      </c>
      <c r="D336" s="18">
        <v>666</v>
      </c>
      <c r="E336" s="19">
        <v>344.95421014963301</v>
      </c>
      <c r="F336" s="19">
        <v>377.716591820703</v>
      </c>
      <c r="G336" s="12">
        <f>E336/Combined_Summary!$B$23</f>
        <v>1379.8168405985321</v>
      </c>
      <c r="H336" s="12">
        <f>F336/Combined_Summary!$B$23</f>
        <v>1510.866367282812</v>
      </c>
      <c r="I336" s="12">
        <f t="shared" si="10"/>
        <v>131.04952668427995</v>
      </c>
      <c r="J336" s="13">
        <f t="shared" si="11"/>
        <v>9.4976030751613205E-2</v>
      </c>
    </row>
    <row r="337" spans="1:10" x14ac:dyDescent="0.35">
      <c r="A337" s="3">
        <v>53840</v>
      </c>
      <c r="B337" s="3">
        <v>187516</v>
      </c>
      <c r="C337" s="18">
        <v>32</v>
      </c>
      <c r="D337" s="18">
        <v>32</v>
      </c>
      <c r="E337" s="19">
        <v>356.74034309387201</v>
      </c>
      <c r="F337" s="19">
        <v>393.23991298675497</v>
      </c>
      <c r="G337" s="12">
        <f>E337/Combined_Summary!$B$23</f>
        <v>1426.9613723754881</v>
      </c>
      <c r="H337" s="12">
        <f>F337/Combined_Summary!$B$23</f>
        <v>1572.9596519470199</v>
      </c>
      <c r="I337" s="12">
        <f t="shared" si="10"/>
        <v>145.99827957153184</v>
      </c>
      <c r="J337" s="13">
        <f t="shared" si="11"/>
        <v>0.10231410772422375</v>
      </c>
    </row>
    <row r="338" spans="1:10" x14ac:dyDescent="0.35">
      <c r="A338" s="3">
        <v>53863</v>
      </c>
      <c r="B338" s="3">
        <v>182291</v>
      </c>
      <c r="C338" s="18">
        <v>796</v>
      </c>
      <c r="D338" s="18">
        <v>796</v>
      </c>
      <c r="E338" s="19">
        <v>353.74732045312601</v>
      </c>
      <c r="F338" s="19">
        <v>380.12460849512797</v>
      </c>
      <c r="G338" s="12">
        <f>E338/Combined_Summary!$B$23</f>
        <v>1414.989281812504</v>
      </c>
      <c r="H338" s="12">
        <f>F338/Combined_Summary!$B$23</f>
        <v>1520.4984339805119</v>
      </c>
      <c r="I338" s="12">
        <f t="shared" si="10"/>
        <v>105.50915216800786</v>
      </c>
      <c r="J338" s="13">
        <f t="shared" si="11"/>
        <v>7.4565336659552561E-2</v>
      </c>
    </row>
    <row r="339" spans="1:10" x14ac:dyDescent="0.35">
      <c r="A339" s="3">
        <v>53864</v>
      </c>
      <c r="B339" s="3">
        <v>187513</v>
      </c>
      <c r="C339" s="18">
        <v>290</v>
      </c>
      <c r="D339" s="18">
        <v>290</v>
      </c>
      <c r="E339" s="19">
        <v>368.27134586202698</v>
      </c>
      <c r="F339" s="19">
        <v>389.32364791344003</v>
      </c>
      <c r="G339" s="12">
        <f>E339/Combined_Summary!$B$23</f>
        <v>1473.0853834481079</v>
      </c>
      <c r="H339" s="12">
        <f>F339/Combined_Summary!$B$23</f>
        <v>1557.2945916537601</v>
      </c>
      <c r="I339" s="12">
        <f t="shared" si="10"/>
        <v>84.209208205652203</v>
      </c>
      <c r="J339" s="13">
        <f t="shared" si="11"/>
        <v>5.716519161200314E-2</v>
      </c>
    </row>
    <row r="340" spans="1:10" x14ac:dyDescent="0.35">
      <c r="A340" s="3">
        <v>53865</v>
      </c>
      <c r="B340" s="3">
        <v>187512</v>
      </c>
      <c r="C340" s="18">
        <v>428</v>
      </c>
      <c r="D340" s="18">
        <v>428</v>
      </c>
      <c r="E340" s="19">
        <v>342.49741654084102</v>
      </c>
      <c r="F340" s="19">
        <v>368.28213500976602</v>
      </c>
      <c r="G340" s="12">
        <f>E340/Combined_Summary!$B$23</f>
        <v>1369.9896661633641</v>
      </c>
      <c r="H340" s="12">
        <f>F340/Combined_Summary!$B$23</f>
        <v>1473.1285400390641</v>
      </c>
      <c r="I340" s="12">
        <f t="shared" si="10"/>
        <v>103.13887387570003</v>
      </c>
      <c r="J340" s="13">
        <f t="shared" si="11"/>
        <v>7.5284417410635601E-2</v>
      </c>
    </row>
    <row r="341" spans="1:10" x14ac:dyDescent="0.35">
      <c r="A341" s="3">
        <v>53866</v>
      </c>
      <c r="B341" s="3">
        <v>187557</v>
      </c>
      <c r="C341" s="18">
        <v>453</v>
      </c>
      <c r="D341" s="18">
        <v>453</v>
      </c>
      <c r="E341" s="19">
        <v>372.52038215485601</v>
      </c>
      <c r="F341" s="19">
        <v>401.42164948655</v>
      </c>
      <c r="G341" s="12">
        <f>E341/Combined_Summary!$B$23</f>
        <v>1490.081528619424</v>
      </c>
      <c r="H341" s="12">
        <f>F341/Combined_Summary!$B$23</f>
        <v>1605.6865979462</v>
      </c>
      <c r="I341" s="12">
        <f t="shared" si="10"/>
        <v>115.60506932677595</v>
      </c>
      <c r="J341" s="13">
        <f t="shared" si="11"/>
        <v>7.7583049723383424E-2</v>
      </c>
    </row>
    <row r="342" spans="1:10" x14ac:dyDescent="0.35">
      <c r="A342" s="3">
        <v>53867</v>
      </c>
      <c r="B342" s="3">
        <v>187556</v>
      </c>
      <c r="C342" s="18">
        <v>446</v>
      </c>
      <c r="D342" s="18">
        <v>446</v>
      </c>
      <c r="E342" s="19">
        <v>353.15259646941701</v>
      </c>
      <c r="F342" s="19">
        <v>388.35062767678897</v>
      </c>
      <c r="G342" s="12">
        <f>E342/Combined_Summary!$B$23</f>
        <v>1412.610385877668</v>
      </c>
      <c r="H342" s="12">
        <f>F342/Combined_Summary!$B$23</f>
        <v>1553.4025107071559</v>
      </c>
      <c r="I342" s="12">
        <f t="shared" si="10"/>
        <v>140.79212482948788</v>
      </c>
      <c r="J342" s="13">
        <f t="shared" si="11"/>
        <v>9.9668051599388754E-2</v>
      </c>
    </row>
    <row r="343" spans="1:10" x14ac:dyDescent="0.35">
      <c r="A343" s="3">
        <v>53868</v>
      </c>
      <c r="B343" s="3">
        <v>187597</v>
      </c>
      <c r="C343" s="18">
        <v>332</v>
      </c>
      <c r="D343" s="18">
        <v>332</v>
      </c>
      <c r="E343" s="19">
        <v>323.08720892021501</v>
      </c>
      <c r="F343" s="19">
        <v>351.255607099418</v>
      </c>
      <c r="G343" s="12">
        <f>E343/Combined_Summary!$B$23</f>
        <v>1292.34883568086</v>
      </c>
      <c r="H343" s="12">
        <f>F343/Combined_Summary!$B$23</f>
        <v>1405.022428397672</v>
      </c>
      <c r="I343" s="12">
        <f t="shared" si="10"/>
        <v>112.67359271681198</v>
      </c>
      <c r="J343" s="13">
        <f t="shared" si="11"/>
        <v>8.7185123401648065E-2</v>
      </c>
    </row>
    <row r="344" spans="1:10" x14ac:dyDescent="0.35">
      <c r="A344" s="3">
        <v>53869</v>
      </c>
      <c r="B344" s="3">
        <v>187599</v>
      </c>
      <c r="C344" s="18">
        <v>523</v>
      </c>
      <c r="D344" s="18">
        <v>523</v>
      </c>
      <c r="E344" s="19">
        <v>334.66027263108901</v>
      </c>
      <c r="F344" s="19">
        <v>371.91093930596401</v>
      </c>
      <c r="G344" s="12">
        <f>E344/Combined_Summary!$B$23</f>
        <v>1338.6410905243561</v>
      </c>
      <c r="H344" s="12">
        <f>F344/Combined_Summary!$B$23</f>
        <v>1487.643757223856</v>
      </c>
      <c r="I344" s="12">
        <f t="shared" si="10"/>
        <v>149.00266669949997</v>
      </c>
      <c r="J344" s="13">
        <f t="shared" si="11"/>
        <v>0.11130889956555455</v>
      </c>
    </row>
    <row r="345" spans="1:10" x14ac:dyDescent="0.35">
      <c r="A345" s="3">
        <v>53870</v>
      </c>
      <c r="B345" s="3">
        <v>187602</v>
      </c>
      <c r="C345" s="18">
        <v>772</v>
      </c>
      <c r="D345" s="18">
        <v>772</v>
      </c>
      <c r="E345" s="19">
        <v>286.095046013748</v>
      </c>
      <c r="F345" s="19">
        <v>325.56637297516698</v>
      </c>
      <c r="G345" s="12">
        <f>E345/Combined_Summary!$B$23</f>
        <v>1144.380184054992</v>
      </c>
      <c r="H345" s="12">
        <f>F345/Combined_Summary!$B$23</f>
        <v>1302.2654919006679</v>
      </c>
      <c r="I345" s="12">
        <f t="shared" si="10"/>
        <v>157.88530784567592</v>
      </c>
      <c r="J345" s="13">
        <f t="shared" si="11"/>
        <v>0.13796578274033527</v>
      </c>
    </row>
    <row r="346" spans="1:10" x14ac:dyDescent="0.35">
      <c r="A346" s="3">
        <v>53886</v>
      </c>
      <c r="B346" s="3">
        <v>187493</v>
      </c>
      <c r="C346" s="18">
        <v>313</v>
      </c>
      <c r="D346" s="18">
        <v>313</v>
      </c>
      <c r="E346" s="19">
        <v>298.80521680447998</v>
      </c>
      <c r="F346" s="19">
        <v>338.30807924118301</v>
      </c>
      <c r="G346" s="12">
        <f>E346/Combined_Summary!$B$23</f>
        <v>1195.2208672179199</v>
      </c>
      <c r="H346" s="12">
        <f>F346/Combined_Summary!$B$23</f>
        <v>1353.232316964732</v>
      </c>
      <c r="I346" s="12">
        <f t="shared" si="10"/>
        <v>158.0114497468121</v>
      </c>
      <c r="J346" s="13">
        <f t="shared" si="11"/>
        <v>0.13220272008353623</v>
      </c>
    </row>
    <row r="347" spans="1:10" x14ac:dyDescent="0.35">
      <c r="A347" s="3">
        <v>53887</v>
      </c>
      <c r="B347" s="3">
        <v>187521</v>
      </c>
      <c r="C347" s="18">
        <v>745</v>
      </c>
      <c r="D347" s="18">
        <v>745</v>
      </c>
      <c r="E347" s="19">
        <v>354.44365821172698</v>
      </c>
      <c r="F347" s="19">
        <v>377.74405261558201</v>
      </c>
      <c r="G347" s="12">
        <f>E347/Combined_Summary!$B$23</f>
        <v>1417.7746328469079</v>
      </c>
      <c r="H347" s="12">
        <f>F347/Combined_Summary!$B$23</f>
        <v>1510.976210462328</v>
      </c>
      <c r="I347" s="12">
        <f t="shared" si="10"/>
        <v>93.201577615420092</v>
      </c>
      <c r="J347" s="13">
        <f t="shared" si="11"/>
        <v>6.5737935674776635E-2</v>
      </c>
    </row>
    <row r="348" spans="1:10" x14ac:dyDescent="0.35">
      <c r="A348" s="3">
        <v>53888</v>
      </c>
      <c r="B348" s="3">
        <v>187586</v>
      </c>
      <c r="C348" s="18">
        <v>572</v>
      </c>
      <c r="D348" s="18">
        <v>572</v>
      </c>
      <c r="E348" s="19">
        <v>322.61866967661399</v>
      </c>
      <c r="F348" s="19">
        <v>362.36577627542101</v>
      </c>
      <c r="G348" s="12">
        <f>E348/Combined_Summary!$B$23</f>
        <v>1290.474678706456</v>
      </c>
      <c r="H348" s="12">
        <f>F348/Combined_Summary!$B$23</f>
        <v>1449.4631051016841</v>
      </c>
      <c r="I348" s="12">
        <f t="shared" si="10"/>
        <v>158.98842639522809</v>
      </c>
      <c r="J348" s="13">
        <f t="shared" si="11"/>
        <v>0.12320150795565758</v>
      </c>
    </row>
    <row r="349" spans="1:10" x14ac:dyDescent="0.35">
      <c r="A349" s="3">
        <v>53916</v>
      </c>
      <c r="B349" s="3">
        <v>187526</v>
      </c>
      <c r="C349" s="18">
        <v>504</v>
      </c>
      <c r="D349" s="18">
        <v>504</v>
      </c>
      <c r="E349" s="19">
        <v>343.314635579548</v>
      </c>
      <c r="F349" s="19">
        <v>378.34216515980103</v>
      </c>
      <c r="G349" s="12">
        <f>E349/Combined_Summary!$B$23</f>
        <v>1373.258542318192</v>
      </c>
      <c r="H349" s="12">
        <f>F349/Combined_Summary!$B$23</f>
        <v>1513.3686606392041</v>
      </c>
      <c r="I349" s="12">
        <f t="shared" si="10"/>
        <v>140.11011832101212</v>
      </c>
      <c r="J349" s="13">
        <f t="shared" si="11"/>
        <v>0.10202748717986695</v>
      </c>
    </row>
    <row r="350" spans="1:10" x14ac:dyDescent="0.35">
      <c r="A350" s="3">
        <v>53917</v>
      </c>
      <c r="B350" s="3">
        <v>187583</v>
      </c>
      <c r="C350" s="18">
        <v>462</v>
      </c>
      <c r="D350" s="18">
        <v>462</v>
      </c>
      <c r="E350" s="19">
        <v>362.001694823756</v>
      </c>
      <c r="F350" s="19">
        <v>390.57067846323002</v>
      </c>
      <c r="G350" s="12">
        <f>E350/Combined_Summary!$B$23</f>
        <v>1448.006779295024</v>
      </c>
      <c r="H350" s="12">
        <f>F350/Combined_Summary!$B$23</f>
        <v>1562.2827138529201</v>
      </c>
      <c r="I350" s="12">
        <f t="shared" si="10"/>
        <v>114.27593455789611</v>
      </c>
      <c r="J350" s="13">
        <f t="shared" si="11"/>
        <v>7.891947482009197E-2</v>
      </c>
    </row>
    <row r="351" spans="1:10" x14ac:dyDescent="0.35">
      <c r="A351" s="3">
        <v>53918</v>
      </c>
      <c r="B351" s="3">
        <v>639260</v>
      </c>
      <c r="C351" s="18">
        <v>16</v>
      </c>
      <c r="D351" s="18">
        <v>16</v>
      </c>
      <c r="E351" s="19">
        <v>294.50634098053001</v>
      </c>
      <c r="F351" s="19">
        <v>318.74039649963402</v>
      </c>
      <c r="G351" s="12">
        <f>E351/Combined_Summary!$B$23</f>
        <v>1178.0253639221201</v>
      </c>
      <c r="H351" s="12">
        <f>F351/Combined_Summary!$B$23</f>
        <v>1274.9615859985361</v>
      </c>
      <c r="I351" s="12">
        <f t="shared" si="10"/>
        <v>96.936222076416016</v>
      </c>
      <c r="J351" s="13">
        <f t="shared" si="11"/>
        <v>8.2287041557132831E-2</v>
      </c>
    </row>
    <row r="352" spans="1:10" x14ac:dyDescent="0.35">
      <c r="A352" s="3">
        <v>53919</v>
      </c>
      <c r="B352" s="3">
        <v>594066</v>
      </c>
      <c r="C352" s="18">
        <v>16</v>
      </c>
      <c r="D352" s="18">
        <v>16</v>
      </c>
      <c r="E352" s="19">
        <v>331.03562545776401</v>
      </c>
      <c r="F352" s="19">
        <v>353.67919731140103</v>
      </c>
      <c r="G352" s="12">
        <f>E352/Combined_Summary!$B$23</f>
        <v>1324.1425018310561</v>
      </c>
      <c r="H352" s="12">
        <f>F352/Combined_Summary!$B$23</f>
        <v>1414.7167892456041</v>
      </c>
      <c r="I352" s="12">
        <f t="shared" si="10"/>
        <v>90.574287414548053</v>
      </c>
      <c r="J352" s="13">
        <f t="shared" si="11"/>
        <v>6.8402220523319623E-2</v>
      </c>
    </row>
    <row r="353" spans="1:10" x14ac:dyDescent="0.35">
      <c r="A353" s="3">
        <v>53920</v>
      </c>
      <c r="B353" s="3">
        <v>61535</v>
      </c>
      <c r="C353" s="18">
        <v>2137</v>
      </c>
      <c r="D353" s="18">
        <v>2137</v>
      </c>
      <c r="E353" s="19">
        <v>324.77144248830302</v>
      </c>
      <c r="F353" s="19">
        <v>350.34380720439299</v>
      </c>
      <c r="G353" s="12">
        <f>E353/Combined_Summary!$B$23</f>
        <v>1299.0857699532121</v>
      </c>
      <c r="H353" s="12">
        <f>F353/Combined_Summary!$B$23</f>
        <v>1401.375228817572</v>
      </c>
      <c r="I353" s="12">
        <f t="shared" si="10"/>
        <v>102.28945886435986</v>
      </c>
      <c r="J353" s="13">
        <f t="shared" si="11"/>
        <v>7.8739573036847227E-2</v>
      </c>
    </row>
    <row r="354" spans="1:10" x14ac:dyDescent="0.35">
      <c r="A354" s="3">
        <v>53932</v>
      </c>
      <c r="B354" s="3">
        <v>182522</v>
      </c>
      <c r="C354" s="18">
        <v>691</v>
      </c>
      <c r="D354" s="18">
        <v>691</v>
      </c>
      <c r="E354" s="19">
        <v>332.96632784941397</v>
      </c>
      <c r="F354" s="19">
        <v>356.04965898925099</v>
      </c>
      <c r="G354" s="12">
        <f>E354/Combined_Summary!$B$23</f>
        <v>1331.8653113976559</v>
      </c>
      <c r="H354" s="12">
        <f>F354/Combined_Summary!$B$23</f>
        <v>1424.1986359570039</v>
      </c>
      <c r="I354" s="12">
        <f t="shared" si="10"/>
        <v>92.333324559348057</v>
      </c>
      <c r="J354" s="13">
        <f t="shared" si="11"/>
        <v>6.9326322841499421E-2</v>
      </c>
    </row>
    <row r="355" spans="1:10" x14ac:dyDescent="0.35">
      <c r="A355" s="3">
        <v>53933</v>
      </c>
      <c r="B355" s="3">
        <v>187563</v>
      </c>
      <c r="C355" s="18">
        <v>267</v>
      </c>
      <c r="D355" s="18">
        <v>267</v>
      </c>
      <c r="E355" s="19">
        <v>284.03264917952299</v>
      </c>
      <c r="F355" s="19">
        <v>318.55295582746299</v>
      </c>
      <c r="G355" s="12">
        <f>E355/Combined_Summary!$B$23</f>
        <v>1136.130596718092</v>
      </c>
      <c r="H355" s="12">
        <f>F355/Combined_Summary!$B$23</f>
        <v>1274.211823309852</v>
      </c>
      <c r="I355" s="12">
        <f t="shared" si="10"/>
        <v>138.08122659176001</v>
      </c>
      <c r="J355" s="13">
        <f t="shared" si="11"/>
        <v>0.12153640346508694</v>
      </c>
    </row>
    <row r="356" spans="1:10" x14ac:dyDescent="0.35">
      <c r="A356" s="3">
        <v>53934</v>
      </c>
      <c r="B356" s="3">
        <v>187566</v>
      </c>
      <c r="C356" s="18">
        <v>659</v>
      </c>
      <c r="D356" s="18">
        <v>659</v>
      </c>
      <c r="E356" s="19">
        <v>325.39630204520603</v>
      </c>
      <c r="F356" s="19">
        <v>360.71224857498203</v>
      </c>
      <c r="G356" s="12">
        <f>E356/Combined_Summary!$B$23</f>
        <v>1301.5852081808241</v>
      </c>
      <c r="H356" s="12">
        <f>F356/Combined_Summary!$B$23</f>
        <v>1442.8489942999281</v>
      </c>
      <c r="I356" s="12">
        <f t="shared" si="10"/>
        <v>141.263786119104</v>
      </c>
      <c r="J356" s="13">
        <f t="shared" si="11"/>
        <v>0.1085321077953421</v>
      </c>
    </row>
    <row r="357" spans="1:10" x14ac:dyDescent="0.35">
      <c r="A357" s="3">
        <v>53935</v>
      </c>
      <c r="B357" s="3">
        <v>187581</v>
      </c>
      <c r="C357" s="18">
        <v>596</v>
      </c>
      <c r="D357" s="18">
        <v>596</v>
      </c>
      <c r="E357" s="19">
        <v>351.52133149268599</v>
      </c>
      <c r="F357" s="19">
        <v>383.97284489830099</v>
      </c>
      <c r="G357" s="12">
        <f>E357/Combined_Summary!$B$23</f>
        <v>1406.085325970744</v>
      </c>
      <c r="H357" s="12">
        <f>F357/Combined_Summary!$B$23</f>
        <v>1535.891379593204</v>
      </c>
      <c r="I357" s="12">
        <f t="shared" si="10"/>
        <v>129.80605362246001</v>
      </c>
      <c r="J357" s="13">
        <f t="shared" si="11"/>
        <v>9.2317337522062198E-2</v>
      </c>
    </row>
    <row r="358" spans="1:10" x14ac:dyDescent="0.35">
      <c r="A358" s="3">
        <v>53936</v>
      </c>
      <c r="B358" s="3">
        <v>187580</v>
      </c>
      <c r="C358" s="18">
        <v>593</v>
      </c>
      <c r="D358" s="18">
        <v>593</v>
      </c>
      <c r="E358" s="19">
        <v>332.77621187850201</v>
      </c>
      <c r="F358" s="19">
        <v>367.13752578040601</v>
      </c>
      <c r="G358" s="12">
        <f>E358/Combined_Summary!$B$23</f>
        <v>1331.104847514008</v>
      </c>
      <c r="H358" s="12">
        <f>F358/Combined_Summary!$B$23</f>
        <v>1468.550103121624</v>
      </c>
      <c r="I358" s="12">
        <f t="shared" si="10"/>
        <v>137.44525560761599</v>
      </c>
      <c r="J358" s="13">
        <f t="shared" si="11"/>
        <v>0.10325652097527169</v>
      </c>
    </row>
    <row r="359" spans="1:10" x14ac:dyDescent="0.35">
      <c r="A359" s="3">
        <v>53951</v>
      </c>
      <c r="B359" s="3">
        <v>463242</v>
      </c>
      <c r="C359" s="18">
        <v>338</v>
      </c>
      <c r="D359" s="18">
        <v>338</v>
      </c>
      <c r="E359" s="19">
        <v>342.54056283849201</v>
      </c>
      <c r="F359" s="19">
        <v>371.34991949408698</v>
      </c>
      <c r="G359" s="12">
        <f>E359/Combined_Summary!$B$23</f>
        <v>1370.162251353968</v>
      </c>
      <c r="H359" s="12">
        <f>F359/Combined_Summary!$B$23</f>
        <v>1485.3996779763479</v>
      </c>
      <c r="I359" s="12">
        <f t="shared" si="10"/>
        <v>115.23742662237987</v>
      </c>
      <c r="J359" s="13">
        <f t="shared" si="11"/>
        <v>8.4104949255830438E-2</v>
      </c>
    </row>
    <row r="360" spans="1:10" x14ac:dyDescent="0.35">
      <c r="A360" s="3">
        <v>53952</v>
      </c>
      <c r="B360" s="3">
        <v>597226</v>
      </c>
      <c r="C360" s="18">
        <v>16</v>
      </c>
      <c r="D360" s="18">
        <v>16</v>
      </c>
      <c r="E360" s="19">
        <v>244.03730583190901</v>
      </c>
      <c r="F360" s="19">
        <v>283.869553565979</v>
      </c>
      <c r="G360" s="12">
        <f>E360/Combined_Summary!$B$23</f>
        <v>976.14922332763604</v>
      </c>
      <c r="H360" s="12">
        <f>F360/Combined_Summary!$B$23</f>
        <v>1135.478214263916</v>
      </c>
      <c r="I360" s="12">
        <f t="shared" si="10"/>
        <v>159.32899093627998</v>
      </c>
      <c r="J360" s="13">
        <f t="shared" si="11"/>
        <v>0.16322196148774948</v>
      </c>
    </row>
    <row r="361" spans="1:10" x14ac:dyDescent="0.35">
      <c r="A361" s="3">
        <v>53953</v>
      </c>
      <c r="B361" s="3">
        <v>182521</v>
      </c>
      <c r="C361" s="18">
        <v>427</v>
      </c>
      <c r="D361" s="18">
        <v>427</v>
      </c>
      <c r="E361" s="19">
        <v>330.09020338572202</v>
      </c>
      <c r="F361" s="19">
        <v>356.574650748831</v>
      </c>
      <c r="G361" s="12">
        <f>E361/Combined_Summary!$B$23</f>
        <v>1320.3608135428881</v>
      </c>
      <c r="H361" s="12">
        <f>F361/Combined_Summary!$B$23</f>
        <v>1426.298602995324</v>
      </c>
      <c r="I361" s="12">
        <f t="shared" si="10"/>
        <v>105.93778945243594</v>
      </c>
      <c r="J361" s="13">
        <f t="shared" si="11"/>
        <v>8.0233969658775287E-2</v>
      </c>
    </row>
    <row r="362" spans="1:10" x14ac:dyDescent="0.35">
      <c r="A362" s="3">
        <v>53954</v>
      </c>
      <c r="B362" s="3">
        <v>61531</v>
      </c>
      <c r="C362" s="18">
        <v>862</v>
      </c>
      <c r="D362" s="18">
        <v>862</v>
      </c>
      <c r="E362" s="19">
        <v>295.246031086296</v>
      </c>
      <c r="F362" s="19">
        <v>330.32647908646697</v>
      </c>
      <c r="G362" s="12">
        <f>E362/Combined_Summary!$B$23</f>
        <v>1180.984124345184</v>
      </c>
      <c r="H362" s="12">
        <f>F362/Combined_Summary!$B$23</f>
        <v>1321.3059163458679</v>
      </c>
      <c r="I362" s="12">
        <f t="shared" si="10"/>
        <v>140.3217920006839</v>
      </c>
      <c r="J362" s="13">
        <f t="shared" si="11"/>
        <v>0.11881767850053668</v>
      </c>
    </row>
    <row r="363" spans="1:10" x14ac:dyDescent="0.35">
      <c r="A363" s="3">
        <v>53967</v>
      </c>
      <c r="B363" s="3">
        <v>182267</v>
      </c>
      <c r="C363" s="18">
        <v>181</v>
      </c>
      <c r="D363" s="18">
        <v>181</v>
      </c>
      <c r="E363" s="19">
        <v>410.33904059815802</v>
      </c>
      <c r="F363" s="19">
        <v>430.92018886165698</v>
      </c>
      <c r="G363" s="12">
        <f>E363/Combined_Summary!$B$23</f>
        <v>1641.3561623926321</v>
      </c>
      <c r="H363" s="12">
        <f>F363/Combined_Summary!$B$23</f>
        <v>1723.6807554466279</v>
      </c>
      <c r="I363" s="12">
        <f t="shared" si="10"/>
        <v>82.324593053995841</v>
      </c>
      <c r="J363" s="13">
        <f t="shared" si="11"/>
        <v>5.0156446809198264E-2</v>
      </c>
    </row>
    <row r="364" spans="1:10" x14ac:dyDescent="0.35">
      <c r="A364" s="3">
        <v>53968</v>
      </c>
      <c r="B364" s="3">
        <v>182296</v>
      </c>
      <c r="C364" s="18">
        <v>369</v>
      </c>
      <c r="D364" s="18">
        <v>369</v>
      </c>
      <c r="E364" s="19">
        <v>358.151724094298</v>
      </c>
      <c r="F364" s="19">
        <v>376.49011232536299</v>
      </c>
      <c r="G364" s="12">
        <f>E364/Combined_Summary!$B$23</f>
        <v>1432.606896377192</v>
      </c>
      <c r="H364" s="12">
        <f>F364/Combined_Summary!$B$23</f>
        <v>1505.9604493014519</v>
      </c>
      <c r="I364" s="12">
        <f t="shared" si="10"/>
        <v>73.35355292425993</v>
      </c>
      <c r="J364" s="13">
        <f t="shared" si="11"/>
        <v>5.120284783617754E-2</v>
      </c>
    </row>
    <row r="365" spans="1:10" x14ac:dyDescent="0.35">
      <c r="A365" s="3">
        <v>53969</v>
      </c>
      <c r="B365" s="3">
        <v>182543</v>
      </c>
      <c r="C365" s="18">
        <v>949</v>
      </c>
      <c r="D365" s="18">
        <v>949</v>
      </c>
      <c r="E365" s="19">
        <v>336.77624693409302</v>
      </c>
      <c r="F365" s="19">
        <v>364.74567049949002</v>
      </c>
      <c r="G365" s="12">
        <f>E365/Combined_Summary!$B$23</f>
        <v>1347.1049877363721</v>
      </c>
      <c r="H365" s="12">
        <f>F365/Combined_Summary!$B$23</f>
        <v>1458.9826819979601</v>
      </c>
      <c r="I365" s="12">
        <f t="shared" si="10"/>
        <v>111.87769426158798</v>
      </c>
      <c r="J365" s="13">
        <f t="shared" si="11"/>
        <v>8.3050463980230166E-2</v>
      </c>
    </row>
    <row r="366" spans="1:10" x14ac:dyDescent="0.35">
      <c r="A366" s="3">
        <v>53970</v>
      </c>
      <c r="B366" s="3">
        <v>182265</v>
      </c>
      <c r="C366" s="18">
        <v>883</v>
      </c>
      <c r="D366" s="18">
        <v>883</v>
      </c>
      <c r="E366" s="19">
        <v>356.48892791678901</v>
      </c>
      <c r="F366" s="19">
        <v>380.46102112092899</v>
      </c>
      <c r="G366" s="12">
        <f>E366/Combined_Summary!$B$23</f>
        <v>1425.955711667156</v>
      </c>
      <c r="H366" s="12">
        <f>F366/Combined_Summary!$B$23</f>
        <v>1521.844084483716</v>
      </c>
      <c r="I366" s="12">
        <f t="shared" si="10"/>
        <v>95.888372816559922</v>
      </c>
      <c r="J366" s="13">
        <f t="shared" si="11"/>
        <v>6.7244986665435796E-2</v>
      </c>
    </row>
    <row r="367" spans="1:10" x14ac:dyDescent="0.35">
      <c r="A367" s="3">
        <v>53971</v>
      </c>
      <c r="B367" s="3">
        <v>182518</v>
      </c>
      <c r="C367" s="18">
        <v>457</v>
      </c>
      <c r="D367" s="18">
        <v>457</v>
      </c>
      <c r="E367" s="19">
        <v>330.88199238182398</v>
      </c>
      <c r="F367" s="19">
        <v>361.66142817190502</v>
      </c>
      <c r="G367" s="12">
        <f>E367/Combined_Summary!$B$23</f>
        <v>1323.5279695272959</v>
      </c>
      <c r="H367" s="12">
        <f>F367/Combined_Summary!$B$23</f>
        <v>1446.6457126876201</v>
      </c>
      <c r="I367" s="12">
        <f t="shared" si="10"/>
        <v>123.11774316032415</v>
      </c>
      <c r="J367" s="13">
        <f t="shared" si="11"/>
        <v>9.3022396197865176E-2</v>
      </c>
    </row>
    <row r="368" spans="1:10" x14ac:dyDescent="0.35">
      <c r="A368" s="3">
        <v>53972</v>
      </c>
      <c r="B368" s="3">
        <v>193696</v>
      </c>
      <c r="C368" s="18">
        <v>617</v>
      </c>
      <c r="D368" s="18">
        <v>617</v>
      </c>
      <c r="E368" s="19">
        <v>331.64963050483698</v>
      </c>
      <c r="F368" s="19">
        <v>370.29292250375102</v>
      </c>
      <c r="G368" s="12">
        <f>E368/Combined_Summary!$B$23</f>
        <v>1326.5985220193479</v>
      </c>
      <c r="H368" s="12">
        <f>F368/Combined_Summary!$B$23</f>
        <v>1481.1716900150041</v>
      </c>
      <c r="I368" s="12">
        <f t="shared" si="10"/>
        <v>154.57316799565615</v>
      </c>
      <c r="J368" s="13">
        <f t="shared" si="11"/>
        <v>0.1165184231928473</v>
      </c>
    </row>
    <row r="369" spans="1:10" x14ac:dyDescent="0.35">
      <c r="A369" s="3">
        <v>53973</v>
      </c>
      <c r="B369" s="3">
        <v>182451</v>
      </c>
      <c r="C369" s="18">
        <v>590</v>
      </c>
      <c r="D369" s="18">
        <v>590</v>
      </c>
      <c r="E369" s="19">
        <v>324.38607592825201</v>
      </c>
      <c r="F369" s="19">
        <v>358.02022146451299</v>
      </c>
      <c r="G369" s="12">
        <f>E369/Combined_Summary!$B$23</f>
        <v>1297.544303713008</v>
      </c>
      <c r="H369" s="12">
        <f>F369/Combined_Summary!$B$23</f>
        <v>1432.0808858580519</v>
      </c>
      <c r="I369" s="12">
        <f t="shared" si="10"/>
        <v>134.53658214504389</v>
      </c>
      <c r="J369" s="13">
        <f t="shared" si="11"/>
        <v>0.10368554026252411</v>
      </c>
    </row>
    <row r="370" spans="1:10" x14ac:dyDescent="0.35">
      <c r="A370" s="3">
        <v>53974</v>
      </c>
      <c r="B370" s="3">
        <v>31223</v>
      </c>
      <c r="C370" s="18">
        <v>815</v>
      </c>
      <c r="D370" s="18">
        <v>815</v>
      </c>
      <c r="E370" s="19">
        <v>298.25491193993702</v>
      </c>
      <c r="F370" s="19">
        <v>324.41997403571901</v>
      </c>
      <c r="G370" s="12">
        <f>E370/Combined_Summary!$B$23</f>
        <v>1193.0196477597481</v>
      </c>
      <c r="H370" s="12">
        <f>F370/Combined_Summary!$B$23</f>
        <v>1297.679896142876</v>
      </c>
      <c r="I370" s="12">
        <f t="shared" si="10"/>
        <v>104.66024838312796</v>
      </c>
      <c r="J370" s="13">
        <f t="shared" si="11"/>
        <v>8.7727179162270255E-2</v>
      </c>
    </row>
    <row r="371" spans="1:10" x14ac:dyDescent="0.35">
      <c r="A371" s="3">
        <v>53987</v>
      </c>
      <c r="B371" s="3">
        <v>180965</v>
      </c>
      <c r="C371" s="18">
        <v>366</v>
      </c>
      <c r="D371" s="18">
        <v>366</v>
      </c>
      <c r="E371" s="19">
        <v>314.03633361566301</v>
      </c>
      <c r="F371" s="19">
        <v>364.11259620958299</v>
      </c>
      <c r="G371" s="12">
        <f>E371/Combined_Summary!$B$23</f>
        <v>1256.145334462652</v>
      </c>
      <c r="H371" s="12">
        <f>F371/Combined_Summary!$B$23</f>
        <v>1456.450384838332</v>
      </c>
      <c r="I371" s="12">
        <f t="shared" si="10"/>
        <v>200.30505037567991</v>
      </c>
      <c r="J371" s="13">
        <f t="shared" si="11"/>
        <v>0.15946009182238891</v>
      </c>
    </row>
    <row r="372" spans="1:10" x14ac:dyDescent="0.35">
      <c r="A372" s="3">
        <v>53988</v>
      </c>
      <c r="B372" s="3">
        <v>594067</v>
      </c>
      <c r="C372" s="18">
        <v>16</v>
      </c>
      <c r="D372" s="18">
        <v>16</v>
      </c>
      <c r="E372" s="19">
        <v>324.00177574157698</v>
      </c>
      <c r="F372" s="19">
        <v>345.72839164733898</v>
      </c>
      <c r="G372" s="12">
        <f>E372/Combined_Summary!$B$23</f>
        <v>1296.0071029663079</v>
      </c>
      <c r="H372" s="12">
        <f>F372/Combined_Summary!$B$23</f>
        <v>1382.9135665893559</v>
      </c>
      <c r="I372" s="12">
        <f t="shared" si="10"/>
        <v>86.906463623048012</v>
      </c>
      <c r="J372" s="13">
        <f t="shared" si="11"/>
        <v>6.7057088980558857E-2</v>
      </c>
    </row>
    <row r="373" spans="1:10" x14ac:dyDescent="0.35">
      <c r="A373" s="3">
        <v>53989</v>
      </c>
      <c r="B373" s="3">
        <v>188667</v>
      </c>
      <c r="C373" s="18">
        <v>582</v>
      </c>
      <c r="D373" s="18">
        <v>582</v>
      </c>
      <c r="E373" s="19">
        <v>339.98347415465298</v>
      </c>
      <c r="F373" s="19">
        <v>369.684678080975</v>
      </c>
      <c r="G373" s="12">
        <f>E373/Combined_Summary!$B$23</f>
        <v>1359.9338966186119</v>
      </c>
      <c r="H373" s="12">
        <f>F373/Combined_Summary!$B$23</f>
        <v>1478.7387123239</v>
      </c>
      <c r="I373" s="12">
        <f t="shared" si="10"/>
        <v>118.80481570528809</v>
      </c>
      <c r="J373" s="13">
        <f t="shared" si="11"/>
        <v>8.7360728341788249E-2</v>
      </c>
    </row>
    <row r="374" spans="1:10" x14ac:dyDescent="0.35">
      <c r="A374" s="3">
        <v>53990</v>
      </c>
      <c r="B374" s="3">
        <v>187668</v>
      </c>
      <c r="C374" s="18">
        <v>598</v>
      </c>
      <c r="D374" s="18">
        <v>598</v>
      </c>
      <c r="E374" s="19">
        <v>344.18082829861299</v>
      </c>
      <c r="F374" s="19">
        <v>369.98070292648299</v>
      </c>
      <c r="G374" s="12">
        <f>E374/Combined_Summary!$B$23</f>
        <v>1376.723313194452</v>
      </c>
      <c r="H374" s="12">
        <f>F374/Combined_Summary!$B$23</f>
        <v>1479.922811705932</v>
      </c>
      <c r="I374" s="12">
        <f t="shared" si="10"/>
        <v>103.19949851147999</v>
      </c>
      <c r="J374" s="13">
        <f t="shared" si="11"/>
        <v>7.4960231676489242E-2</v>
      </c>
    </row>
    <row r="375" spans="1:10" x14ac:dyDescent="0.35">
      <c r="A375" s="3">
        <v>54012</v>
      </c>
      <c r="B375" s="3">
        <v>188686</v>
      </c>
      <c r="C375" s="18">
        <v>807</v>
      </c>
      <c r="D375" s="18">
        <v>807</v>
      </c>
      <c r="E375" s="19">
        <v>320.55846465535001</v>
      </c>
      <c r="F375" s="19">
        <v>347.984796715492</v>
      </c>
      <c r="G375" s="12">
        <f>E375/Combined_Summary!$B$23</f>
        <v>1282.2338586214</v>
      </c>
      <c r="H375" s="12">
        <f>F375/Combined_Summary!$B$23</f>
        <v>1391.939186861968</v>
      </c>
      <c r="I375" s="12">
        <f t="shared" si="10"/>
        <v>109.70532824056795</v>
      </c>
      <c r="J375" s="13">
        <f t="shared" si="11"/>
        <v>8.5557971740442232E-2</v>
      </c>
    </row>
    <row r="376" spans="1:10" x14ac:dyDescent="0.35">
      <c r="A376" s="3">
        <v>54025</v>
      </c>
      <c r="B376" s="3">
        <v>180950</v>
      </c>
      <c r="C376" s="18">
        <v>683</v>
      </c>
      <c r="D376" s="18">
        <v>683</v>
      </c>
      <c r="E376" s="19">
        <v>346.46839651216698</v>
      </c>
      <c r="F376" s="19">
        <v>366.73519774586401</v>
      </c>
      <c r="G376" s="12">
        <f>E376/Combined_Summary!$B$23</f>
        <v>1385.8735860486679</v>
      </c>
      <c r="H376" s="12">
        <f>F376/Combined_Summary!$B$23</f>
        <v>1466.9407909834561</v>
      </c>
      <c r="I376" s="12">
        <f t="shared" si="10"/>
        <v>81.067204934788151</v>
      </c>
      <c r="J376" s="13">
        <f t="shared" si="11"/>
        <v>5.8495382083096646E-2</v>
      </c>
    </row>
    <row r="377" spans="1:10" x14ac:dyDescent="0.35">
      <c r="A377" s="3">
        <v>54026</v>
      </c>
      <c r="B377" s="3">
        <v>180962</v>
      </c>
      <c r="C377" s="18">
        <v>617</v>
      </c>
      <c r="D377" s="18">
        <v>617</v>
      </c>
      <c r="E377" s="19">
        <v>373.75811496159599</v>
      </c>
      <c r="F377" s="19">
        <v>397.973799904896</v>
      </c>
      <c r="G377" s="12">
        <f>E377/Combined_Summary!$B$23</f>
        <v>1495.032459846384</v>
      </c>
      <c r="H377" s="12">
        <f>F377/Combined_Summary!$B$23</f>
        <v>1591.895199619584</v>
      </c>
      <c r="I377" s="12">
        <f t="shared" si="10"/>
        <v>96.862739773200019</v>
      </c>
      <c r="J377" s="13">
        <f t="shared" si="11"/>
        <v>6.4789723550987485E-2</v>
      </c>
    </row>
    <row r="378" spans="1:10" x14ac:dyDescent="0.35">
      <c r="A378" s="3">
        <v>54027</v>
      </c>
      <c r="B378" s="3">
        <v>635075</v>
      </c>
      <c r="C378" s="18">
        <v>16</v>
      </c>
      <c r="D378" s="18">
        <v>16</v>
      </c>
      <c r="E378" s="19">
        <v>259.44947338104299</v>
      </c>
      <c r="F378" s="19">
        <v>284.27762699127197</v>
      </c>
      <c r="G378" s="12">
        <f>E378/Combined_Summary!$B$23</f>
        <v>1037.797893524172</v>
      </c>
      <c r="H378" s="12">
        <f>F378/Combined_Summary!$B$23</f>
        <v>1137.1105079650879</v>
      </c>
      <c r="I378" s="12">
        <f t="shared" si="10"/>
        <v>99.312614440915922</v>
      </c>
      <c r="J378" s="13">
        <f t="shared" si="11"/>
        <v>9.569552516980781E-2</v>
      </c>
    </row>
    <row r="379" spans="1:10" x14ac:dyDescent="0.35">
      <c r="A379" s="3">
        <v>54028</v>
      </c>
      <c r="B379" s="3">
        <v>567562</v>
      </c>
      <c r="C379" s="18">
        <v>16</v>
      </c>
      <c r="D379" s="18">
        <v>16</v>
      </c>
      <c r="E379" s="19">
        <v>353.403602600098</v>
      </c>
      <c r="F379" s="19">
        <v>372.92849731445301</v>
      </c>
      <c r="G379" s="12">
        <f>E379/Combined_Summary!$B$23</f>
        <v>1413.614410400392</v>
      </c>
      <c r="H379" s="12">
        <f>F379/Combined_Summary!$B$23</f>
        <v>1491.713989257812</v>
      </c>
      <c r="I379" s="12">
        <f t="shared" si="10"/>
        <v>78.099578857420056</v>
      </c>
      <c r="J379" s="13">
        <f t="shared" si="11"/>
        <v>5.5248148492840522E-2</v>
      </c>
    </row>
    <row r="380" spans="1:10" x14ac:dyDescent="0.35">
      <c r="A380" s="3">
        <v>54048</v>
      </c>
      <c r="B380" s="3">
        <v>180943</v>
      </c>
      <c r="C380" s="18">
        <v>491</v>
      </c>
      <c r="D380" s="18">
        <v>491</v>
      </c>
      <c r="E380" s="19">
        <v>361.797452347827</v>
      </c>
      <c r="F380" s="19">
        <v>388.24129251452899</v>
      </c>
      <c r="G380" s="12">
        <f>E380/Combined_Summary!$B$23</f>
        <v>1447.189809391308</v>
      </c>
      <c r="H380" s="12">
        <f>F380/Combined_Summary!$B$23</f>
        <v>1552.965170058116</v>
      </c>
      <c r="I380" s="12">
        <f t="shared" si="10"/>
        <v>105.77536066680796</v>
      </c>
      <c r="J380" s="13">
        <f t="shared" si="11"/>
        <v>7.3090177929940894E-2</v>
      </c>
    </row>
    <row r="381" spans="1:10" x14ac:dyDescent="0.35">
      <c r="A381" s="3">
        <v>54049</v>
      </c>
      <c r="B381" s="3">
        <v>182378</v>
      </c>
      <c r="C381" s="18">
        <v>555</v>
      </c>
      <c r="D381" s="18">
        <v>555</v>
      </c>
      <c r="E381" s="19">
        <v>340.345499110866</v>
      </c>
      <c r="F381" s="19">
        <v>366.14679040307402</v>
      </c>
      <c r="G381" s="12">
        <f>E381/Combined_Summary!$B$23</f>
        <v>1361.381996443464</v>
      </c>
      <c r="H381" s="12">
        <f>F381/Combined_Summary!$B$23</f>
        <v>1464.5871616122961</v>
      </c>
      <c r="I381" s="12">
        <f t="shared" si="10"/>
        <v>103.20516516883208</v>
      </c>
      <c r="J381" s="13">
        <f t="shared" si="11"/>
        <v>7.5809115618136524E-2</v>
      </c>
    </row>
    <row r="382" spans="1:10" x14ac:dyDescent="0.35">
      <c r="A382" s="3">
        <v>54050</v>
      </c>
      <c r="B382" s="3">
        <v>182379</v>
      </c>
      <c r="C382" s="18">
        <v>540</v>
      </c>
      <c r="D382" s="18">
        <v>540</v>
      </c>
      <c r="E382" s="19">
        <v>339.15483374419</v>
      </c>
      <c r="F382" s="19">
        <v>368.02258266872798</v>
      </c>
      <c r="G382" s="12">
        <f>E382/Combined_Summary!$B$23</f>
        <v>1356.61933497676</v>
      </c>
      <c r="H382" s="12">
        <f>F382/Combined_Summary!$B$23</f>
        <v>1472.0903306749119</v>
      </c>
      <c r="I382" s="12">
        <f t="shared" si="10"/>
        <v>115.47099569815191</v>
      </c>
      <c r="J382" s="13">
        <f t="shared" si="11"/>
        <v>8.5116725614212199E-2</v>
      </c>
    </row>
    <row r="383" spans="1:10" x14ac:dyDescent="0.35">
      <c r="A383" s="3">
        <v>54051</v>
      </c>
      <c r="B383" s="3">
        <v>31217</v>
      </c>
      <c r="C383" s="18">
        <v>1020</v>
      </c>
      <c r="D383" s="18">
        <v>1020</v>
      </c>
      <c r="E383" s="19">
        <v>344.87373506882602</v>
      </c>
      <c r="F383" s="19">
        <v>368.46674174140497</v>
      </c>
      <c r="G383" s="12">
        <f>E383/Combined_Summary!$B$23</f>
        <v>1379.4949402753041</v>
      </c>
      <c r="H383" s="12">
        <f>F383/Combined_Summary!$B$23</f>
        <v>1473.8669669656199</v>
      </c>
      <c r="I383" s="12">
        <f t="shared" si="10"/>
        <v>94.372026690315806</v>
      </c>
      <c r="J383" s="13">
        <f t="shared" si="11"/>
        <v>6.8410563848448833E-2</v>
      </c>
    </row>
    <row r="384" spans="1:10" x14ac:dyDescent="0.35">
      <c r="A384" s="3">
        <v>54052</v>
      </c>
      <c r="B384" s="3">
        <v>31218</v>
      </c>
      <c r="C384" s="18">
        <v>798</v>
      </c>
      <c r="D384" s="18">
        <v>798</v>
      </c>
      <c r="E384" s="19">
        <v>343.23850777991697</v>
      </c>
      <c r="F384" s="19">
        <v>360.21652841209499</v>
      </c>
      <c r="G384" s="12">
        <f>E384/Combined_Summary!$B$23</f>
        <v>1372.9540311196679</v>
      </c>
      <c r="H384" s="12">
        <f>F384/Combined_Summary!$B$23</f>
        <v>1440.86611364838</v>
      </c>
      <c r="I384" s="12">
        <f t="shared" si="10"/>
        <v>67.912082528712062</v>
      </c>
      <c r="J384" s="13">
        <f t="shared" si="11"/>
        <v>4.9464207096087974E-2</v>
      </c>
    </row>
    <row r="385" spans="1:10" x14ac:dyDescent="0.35">
      <c r="A385" s="3">
        <v>54066</v>
      </c>
      <c r="B385" s="3">
        <v>597223</v>
      </c>
      <c r="C385" s="18">
        <v>16</v>
      </c>
      <c r="D385" s="18">
        <v>16</v>
      </c>
      <c r="E385" s="19">
        <v>311.33888435363798</v>
      </c>
      <c r="F385" s="19">
        <v>341.46552467346203</v>
      </c>
      <c r="G385" s="12">
        <f>E385/Combined_Summary!$B$23</f>
        <v>1245.3555374145519</v>
      </c>
      <c r="H385" s="12">
        <f>F385/Combined_Summary!$B$23</f>
        <v>1365.8620986938481</v>
      </c>
      <c r="I385" s="12">
        <f t="shared" si="10"/>
        <v>120.50656127929619</v>
      </c>
      <c r="J385" s="13">
        <f t="shared" si="11"/>
        <v>9.6764785363605096E-2</v>
      </c>
    </row>
    <row r="386" spans="1:10" x14ac:dyDescent="0.35">
      <c r="A386" s="3">
        <v>54067</v>
      </c>
      <c r="B386" s="3">
        <v>182381</v>
      </c>
      <c r="C386" s="18">
        <v>469</v>
      </c>
      <c r="D386" s="18">
        <v>469</v>
      </c>
      <c r="E386" s="19">
        <v>325.14735184854499</v>
      </c>
      <c r="F386" s="19">
        <v>353.48984844801498</v>
      </c>
      <c r="G386" s="12">
        <f>E386/Combined_Summary!$B$23</f>
        <v>1300.5894073941799</v>
      </c>
      <c r="H386" s="12">
        <f>F386/Combined_Summary!$B$23</f>
        <v>1413.9593937920599</v>
      </c>
      <c r="I386" s="12">
        <f t="shared" ref="I386:I449" si="12">H386-G386</f>
        <v>113.36998639787998</v>
      </c>
      <c r="J386" s="13">
        <f t="shared" ref="J386:J449" si="13">IF(G386=0,"",I386/G386)</f>
        <v>8.7168160645737167E-2</v>
      </c>
    </row>
    <row r="387" spans="1:10" x14ac:dyDescent="0.35">
      <c r="A387" s="3">
        <v>54068</v>
      </c>
      <c r="B387" s="3">
        <v>187678</v>
      </c>
      <c r="C387" s="18">
        <v>442</v>
      </c>
      <c r="D387" s="18">
        <v>442</v>
      </c>
      <c r="E387" s="19">
        <v>323.59495316587402</v>
      </c>
      <c r="F387" s="19">
        <v>352.89947689280802</v>
      </c>
      <c r="G387" s="12">
        <f>E387/Combined_Summary!$B$23</f>
        <v>1294.3798126634961</v>
      </c>
      <c r="H387" s="12">
        <f>F387/Combined_Summary!$B$23</f>
        <v>1411.5979075712321</v>
      </c>
      <c r="I387" s="12">
        <f t="shared" si="12"/>
        <v>117.21809490773603</v>
      </c>
      <c r="J387" s="13">
        <f t="shared" si="13"/>
        <v>9.0559273067255086E-2</v>
      </c>
    </row>
    <row r="388" spans="1:10" x14ac:dyDescent="0.35">
      <c r="A388" s="3">
        <v>54069</v>
      </c>
      <c r="B388" s="3">
        <v>187694</v>
      </c>
      <c r="C388" s="18">
        <v>1133</v>
      </c>
      <c r="D388" s="18">
        <v>1133</v>
      </c>
      <c r="E388" s="19">
        <v>349.99359142306798</v>
      </c>
      <c r="F388" s="19">
        <v>375.90291175943298</v>
      </c>
      <c r="G388" s="12">
        <f>E388/Combined_Summary!$B$23</f>
        <v>1399.9743656922719</v>
      </c>
      <c r="H388" s="12">
        <f>F388/Combined_Summary!$B$23</f>
        <v>1503.6116470377319</v>
      </c>
      <c r="I388" s="12">
        <f t="shared" si="12"/>
        <v>103.63728134546</v>
      </c>
      <c r="J388" s="13">
        <f t="shared" si="13"/>
        <v>7.4027985001148572E-2</v>
      </c>
    </row>
    <row r="389" spans="1:10" x14ac:dyDescent="0.35">
      <c r="A389" s="3">
        <v>54077</v>
      </c>
      <c r="B389" s="3">
        <v>180944</v>
      </c>
      <c r="C389" s="18">
        <v>616</v>
      </c>
      <c r="D389" s="18">
        <v>616</v>
      </c>
      <c r="E389" s="19">
        <v>355.264454841614</v>
      </c>
      <c r="F389" s="19">
        <v>384.85567071840399</v>
      </c>
      <c r="G389" s="12">
        <f>E389/Combined_Summary!$B$23</f>
        <v>1421.057819366456</v>
      </c>
      <c r="H389" s="12">
        <f>F389/Combined_Summary!$B$23</f>
        <v>1539.4226828736159</v>
      </c>
      <c r="I389" s="12">
        <f t="shared" si="12"/>
        <v>118.36486350715995</v>
      </c>
      <c r="J389" s="13">
        <f t="shared" si="13"/>
        <v>8.329348876172403E-2</v>
      </c>
    </row>
    <row r="390" spans="1:10" x14ac:dyDescent="0.35">
      <c r="A390" s="3">
        <v>54078</v>
      </c>
      <c r="B390" s="3">
        <v>180977</v>
      </c>
      <c r="C390" s="18">
        <v>840</v>
      </c>
      <c r="D390" s="18">
        <v>840</v>
      </c>
      <c r="E390" s="19">
        <v>346.91750992366298</v>
      </c>
      <c r="F390" s="19">
        <v>377.302191561744</v>
      </c>
      <c r="G390" s="12">
        <f>E390/Combined_Summary!$B$23</f>
        <v>1387.6700396946519</v>
      </c>
      <c r="H390" s="12">
        <f>F390/Combined_Summary!$B$23</f>
        <v>1509.208766246976</v>
      </c>
      <c r="I390" s="12">
        <f t="shared" si="12"/>
        <v>121.53872655232408</v>
      </c>
      <c r="J390" s="13">
        <f t="shared" si="13"/>
        <v>8.7584744986688556E-2</v>
      </c>
    </row>
    <row r="391" spans="1:10" x14ac:dyDescent="0.35">
      <c r="A391" s="3">
        <v>54079</v>
      </c>
      <c r="B391" s="3">
        <v>188692</v>
      </c>
      <c r="C391" s="18">
        <v>648</v>
      </c>
      <c r="D391" s="18">
        <v>648</v>
      </c>
      <c r="E391" s="19">
        <v>363.39519541940598</v>
      </c>
      <c r="F391" s="19">
        <v>387.82955885522199</v>
      </c>
      <c r="G391" s="12">
        <f>E391/Combined_Summary!$B$23</f>
        <v>1453.5807816776239</v>
      </c>
      <c r="H391" s="12">
        <f>F391/Combined_Summary!$B$23</f>
        <v>1551.318235420888</v>
      </c>
      <c r="I391" s="12">
        <f t="shared" si="12"/>
        <v>97.737453743264041</v>
      </c>
      <c r="J391" s="13">
        <f t="shared" si="13"/>
        <v>6.7239093262131691E-2</v>
      </c>
    </row>
    <row r="392" spans="1:10" x14ac:dyDescent="0.35">
      <c r="A392" s="3">
        <v>54080</v>
      </c>
      <c r="B392" s="3">
        <v>638462</v>
      </c>
      <c r="C392" s="18">
        <v>16</v>
      </c>
      <c r="D392" s="18">
        <v>16</v>
      </c>
      <c r="E392" s="19">
        <v>309.49267768859897</v>
      </c>
      <c r="F392" s="19">
        <v>335.424688339233</v>
      </c>
      <c r="G392" s="12">
        <f>E392/Combined_Summary!$B$23</f>
        <v>1237.9707107543959</v>
      </c>
      <c r="H392" s="12">
        <f>F392/Combined_Summary!$B$23</f>
        <v>1341.698753356932</v>
      </c>
      <c r="I392" s="12">
        <f t="shared" si="12"/>
        <v>103.72804260253611</v>
      </c>
      <c r="J392" s="13">
        <f t="shared" si="13"/>
        <v>8.3788769557662804E-2</v>
      </c>
    </row>
    <row r="393" spans="1:10" x14ac:dyDescent="0.35">
      <c r="A393" s="3">
        <v>54081</v>
      </c>
      <c r="B393" s="3">
        <v>187693</v>
      </c>
      <c r="C393" s="18">
        <v>982</v>
      </c>
      <c r="D393" s="18">
        <v>982</v>
      </c>
      <c r="E393" s="19">
        <v>350.685309276076</v>
      </c>
      <c r="F393" s="19">
        <v>379.48936753748899</v>
      </c>
      <c r="G393" s="12">
        <f>E393/Combined_Summary!$B$23</f>
        <v>1402.741237104304</v>
      </c>
      <c r="H393" s="12">
        <f>F393/Combined_Summary!$B$23</f>
        <v>1517.957470149956</v>
      </c>
      <c r="I393" s="12">
        <f t="shared" si="12"/>
        <v>115.21623304565196</v>
      </c>
      <c r="J393" s="13">
        <f t="shared" si="13"/>
        <v>8.2136483905965618E-2</v>
      </c>
    </row>
    <row r="394" spans="1:10" x14ac:dyDescent="0.35">
      <c r="A394" s="3">
        <v>54099</v>
      </c>
      <c r="B394" s="3">
        <v>180970</v>
      </c>
      <c r="C394" s="18">
        <v>766</v>
      </c>
      <c r="D394" s="18">
        <v>766</v>
      </c>
      <c r="E394" s="19">
        <v>358.51143630304199</v>
      </c>
      <c r="F394" s="19">
        <v>385.35962055495099</v>
      </c>
      <c r="G394" s="12">
        <f>E394/Combined_Summary!$B$23</f>
        <v>1434.045745212168</v>
      </c>
      <c r="H394" s="12">
        <f>F394/Combined_Summary!$B$23</f>
        <v>1541.438482219804</v>
      </c>
      <c r="I394" s="12">
        <f t="shared" si="12"/>
        <v>107.39273700763601</v>
      </c>
      <c r="J394" s="13">
        <f t="shared" si="13"/>
        <v>7.4887943683935407E-2</v>
      </c>
    </row>
    <row r="395" spans="1:10" x14ac:dyDescent="0.35">
      <c r="A395" s="3">
        <v>54100</v>
      </c>
      <c r="B395" s="3">
        <v>180968</v>
      </c>
      <c r="C395" s="18">
        <v>440</v>
      </c>
      <c r="D395" s="18">
        <v>440</v>
      </c>
      <c r="E395" s="19">
        <v>303.41939341805198</v>
      </c>
      <c r="F395" s="19">
        <v>331.08486400951</v>
      </c>
      <c r="G395" s="12">
        <f>E395/Combined_Summary!$B$23</f>
        <v>1213.6775736722079</v>
      </c>
      <c r="H395" s="12">
        <f>F395/Combined_Summary!$B$23</f>
        <v>1324.33945603804</v>
      </c>
      <c r="I395" s="12">
        <f t="shared" si="12"/>
        <v>110.66188236583207</v>
      </c>
      <c r="J395" s="13">
        <f t="shared" si="13"/>
        <v>9.1178979299258126E-2</v>
      </c>
    </row>
    <row r="396" spans="1:10" x14ac:dyDescent="0.35">
      <c r="A396" s="3">
        <v>54101</v>
      </c>
      <c r="B396" s="3">
        <v>180972</v>
      </c>
      <c r="C396" s="18">
        <v>755</v>
      </c>
      <c r="D396" s="18">
        <v>755</v>
      </c>
      <c r="E396" s="19">
        <v>337.93311748378301</v>
      </c>
      <c r="F396" s="19">
        <v>360.87327147224897</v>
      </c>
      <c r="G396" s="12">
        <f>E396/Combined_Summary!$B$23</f>
        <v>1351.732469935132</v>
      </c>
      <c r="H396" s="12">
        <f>F396/Combined_Summary!$B$23</f>
        <v>1443.4930858889959</v>
      </c>
      <c r="I396" s="12">
        <f t="shared" si="12"/>
        <v>91.760615953863862</v>
      </c>
      <c r="J396" s="13">
        <f t="shared" si="13"/>
        <v>6.78837107155289E-2</v>
      </c>
    </row>
    <row r="397" spans="1:10" x14ac:dyDescent="0.35">
      <c r="A397" s="3">
        <v>54102</v>
      </c>
      <c r="B397" s="3">
        <v>594068</v>
      </c>
      <c r="C397" s="18">
        <v>16</v>
      </c>
      <c r="D397" s="18">
        <v>16</v>
      </c>
      <c r="E397" s="19">
        <v>331.58755683898897</v>
      </c>
      <c r="F397" s="19">
        <v>356.059261322022</v>
      </c>
      <c r="G397" s="12">
        <f>E397/Combined_Summary!$B$23</f>
        <v>1326.3502273559559</v>
      </c>
      <c r="H397" s="12">
        <f>F397/Combined_Summary!$B$23</f>
        <v>1424.237045288088</v>
      </c>
      <c r="I397" s="12">
        <f t="shared" si="12"/>
        <v>97.886817932132089</v>
      </c>
      <c r="J397" s="13">
        <f t="shared" si="13"/>
        <v>7.3801636938131243E-2</v>
      </c>
    </row>
    <row r="398" spans="1:10" x14ac:dyDescent="0.35">
      <c r="A398" s="3">
        <v>54103</v>
      </c>
      <c r="B398" s="3">
        <v>635445</v>
      </c>
      <c r="C398" s="18">
        <v>16</v>
      </c>
      <c r="D398" s="18">
        <v>16</v>
      </c>
      <c r="E398" s="19">
        <v>342.14955139160202</v>
      </c>
      <c r="F398" s="19">
        <v>357.85725784301798</v>
      </c>
      <c r="G398" s="12">
        <f>E398/Combined_Summary!$B$23</f>
        <v>1368.5982055664081</v>
      </c>
      <c r="H398" s="12">
        <f>F398/Combined_Summary!$B$23</f>
        <v>1431.4290313720719</v>
      </c>
      <c r="I398" s="12">
        <f t="shared" si="12"/>
        <v>62.830825805663835</v>
      </c>
      <c r="J398" s="13">
        <f t="shared" si="13"/>
        <v>4.5908890973345003E-2</v>
      </c>
    </row>
    <row r="399" spans="1:10" x14ac:dyDescent="0.35">
      <c r="A399" s="3">
        <v>54104</v>
      </c>
      <c r="B399" s="3">
        <v>188691</v>
      </c>
      <c r="C399" s="18">
        <v>799</v>
      </c>
      <c r="D399" s="18">
        <v>799</v>
      </c>
      <c r="E399" s="19">
        <v>322.83678243396002</v>
      </c>
      <c r="F399" s="19">
        <v>355.94464738676299</v>
      </c>
      <c r="G399" s="12">
        <f>E399/Combined_Summary!$B$23</f>
        <v>1291.3471297358401</v>
      </c>
      <c r="H399" s="12">
        <f>F399/Combined_Summary!$B$23</f>
        <v>1423.778589547052</v>
      </c>
      <c r="I399" s="12">
        <f t="shared" si="12"/>
        <v>132.43145981121188</v>
      </c>
      <c r="J399" s="13">
        <f t="shared" si="13"/>
        <v>0.10255295169030364</v>
      </c>
    </row>
    <row r="400" spans="1:10" x14ac:dyDescent="0.35">
      <c r="A400" s="3">
        <v>54124</v>
      </c>
      <c r="B400" s="3">
        <v>181015</v>
      </c>
      <c r="C400" s="18">
        <v>789</v>
      </c>
      <c r="D400" s="18">
        <v>789</v>
      </c>
      <c r="E400" s="19">
        <v>345.68207339249301</v>
      </c>
      <c r="F400" s="19">
        <v>369.21659448814597</v>
      </c>
      <c r="G400" s="12">
        <f>E400/Combined_Summary!$B$23</f>
        <v>1382.728293569972</v>
      </c>
      <c r="H400" s="12">
        <f>F400/Combined_Summary!$B$23</f>
        <v>1476.8663779525839</v>
      </c>
      <c r="I400" s="12">
        <f t="shared" si="12"/>
        <v>94.138084382611851</v>
      </c>
      <c r="J400" s="13">
        <f t="shared" si="13"/>
        <v>6.8081404582792715E-2</v>
      </c>
    </row>
    <row r="401" spans="1:10" x14ac:dyDescent="0.35">
      <c r="A401" s="3">
        <v>54125</v>
      </c>
      <c r="B401" s="3">
        <v>594069</v>
      </c>
      <c r="C401" s="18">
        <v>16</v>
      </c>
      <c r="D401" s="18">
        <v>16</v>
      </c>
      <c r="E401" s="19">
        <v>310.50044441223099</v>
      </c>
      <c r="F401" s="19">
        <v>343.65130043029802</v>
      </c>
      <c r="G401" s="12">
        <f>E401/Combined_Summary!$B$23</f>
        <v>1242.001777648924</v>
      </c>
      <c r="H401" s="12">
        <f>F401/Combined_Summary!$B$23</f>
        <v>1374.6052017211921</v>
      </c>
      <c r="I401" s="12">
        <f t="shared" si="12"/>
        <v>132.60342407226813</v>
      </c>
      <c r="J401" s="13">
        <f t="shared" si="13"/>
        <v>0.10676588911433191</v>
      </c>
    </row>
    <row r="402" spans="1:10" x14ac:dyDescent="0.35">
      <c r="A402" s="3">
        <v>54126</v>
      </c>
      <c r="B402" s="3">
        <v>181030</v>
      </c>
      <c r="C402" s="18">
        <v>778</v>
      </c>
      <c r="D402" s="18">
        <v>778</v>
      </c>
      <c r="E402" s="19">
        <v>331.300251291466</v>
      </c>
      <c r="F402" s="19">
        <v>359.68835023620102</v>
      </c>
      <c r="G402" s="12">
        <f>E402/Combined_Summary!$B$23</f>
        <v>1325.201005165864</v>
      </c>
      <c r="H402" s="12">
        <f>F402/Combined_Summary!$B$23</f>
        <v>1438.7534009448041</v>
      </c>
      <c r="I402" s="12">
        <f t="shared" si="12"/>
        <v>113.55239577894008</v>
      </c>
      <c r="J402" s="13">
        <f t="shared" si="13"/>
        <v>8.5686922464058735E-2</v>
      </c>
    </row>
    <row r="403" spans="1:10" x14ac:dyDescent="0.35">
      <c r="A403" s="3">
        <v>54127</v>
      </c>
      <c r="B403" s="3">
        <v>187791</v>
      </c>
      <c r="C403" s="18">
        <v>681</v>
      </c>
      <c r="D403" s="18">
        <v>681</v>
      </c>
      <c r="E403" s="19">
        <v>344.36900330710199</v>
      </c>
      <c r="F403" s="19">
        <v>373.05357139016002</v>
      </c>
      <c r="G403" s="12">
        <f>E403/Combined_Summary!$B$23</f>
        <v>1377.476013228408</v>
      </c>
      <c r="H403" s="12">
        <f>F403/Combined_Summary!$B$23</f>
        <v>1492.2142855606401</v>
      </c>
      <c r="I403" s="12">
        <f t="shared" si="12"/>
        <v>114.7382723322321</v>
      </c>
      <c r="J403" s="13">
        <f t="shared" si="13"/>
        <v>8.3296022021696448E-2</v>
      </c>
    </row>
    <row r="404" spans="1:10" x14ac:dyDescent="0.35">
      <c r="A404" s="3">
        <v>54145</v>
      </c>
      <c r="B404" s="3">
        <v>182442</v>
      </c>
      <c r="C404" s="18">
        <v>704</v>
      </c>
      <c r="D404" s="18">
        <v>704</v>
      </c>
      <c r="E404" s="19">
        <v>336.75312701138603</v>
      </c>
      <c r="F404" s="19">
        <v>371.409242499958</v>
      </c>
      <c r="G404" s="12">
        <f>E404/Combined_Summary!$B$23</f>
        <v>1347.0125080455441</v>
      </c>
      <c r="H404" s="12">
        <f>F404/Combined_Summary!$B$23</f>
        <v>1485.636969999832</v>
      </c>
      <c r="I404" s="12">
        <f t="shared" si="12"/>
        <v>138.62446195428788</v>
      </c>
      <c r="J404" s="13">
        <f t="shared" si="13"/>
        <v>0.10291252763155546</v>
      </c>
    </row>
    <row r="405" spans="1:10" x14ac:dyDescent="0.35">
      <c r="A405" s="3">
        <v>54146</v>
      </c>
      <c r="B405" s="3">
        <v>187761</v>
      </c>
      <c r="C405" s="18">
        <v>730</v>
      </c>
      <c r="D405" s="18">
        <v>730</v>
      </c>
      <c r="E405" s="19">
        <v>330.61215631145302</v>
      </c>
      <c r="F405" s="19">
        <v>362.19270393685099</v>
      </c>
      <c r="G405" s="12">
        <f>E405/Combined_Summary!$B$23</f>
        <v>1322.4486252458121</v>
      </c>
      <c r="H405" s="12">
        <f>F405/Combined_Summary!$B$23</f>
        <v>1448.770815747404</v>
      </c>
      <c r="I405" s="12">
        <f t="shared" si="12"/>
        <v>126.32219050159188</v>
      </c>
      <c r="J405" s="13">
        <f t="shared" si="13"/>
        <v>9.5521435078895073E-2</v>
      </c>
    </row>
    <row r="406" spans="1:10" x14ac:dyDescent="0.35">
      <c r="A406" s="3">
        <v>54147</v>
      </c>
      <c r="B406" s="3">
        <v>596098</v>
      </c>
      <c r="C406" s="18">
        <v>16</v>
      </c>
      <c r="D406" s="18">
        <v>16</v>
      </c>
      <c r="E406" s="19">
        <v>406.07251167297397</v>
      </c>
      <c r="F406" s="19">
        <v>421.88229370117199</v>
      </c>
      <c r="G406" s="12">
        <f>E406/Combined_Summary!$B$23</f>
        <v>1624.2900466918959</v>
      </c>
      <c r="H406" s="12">
        <f>F406/Combined_Summary!$B$23</f>
        <v>1687.529174804688</v>
      </c>
      <c r="I406" s="12">
        <f t="shared" si="12"/>
        <v>63.239128112792059</v>
      </c>
      <c r="J406" s="13">
        <f t="shared" si="13"/>
        <v>3.8933396311568731E-2</v>
      </c>
    </row>
    <row r="407" spans="1:10" x14ac:dyDescent="0.35">
      <c r="A407" s="3">
        <v>54165</v>
      </c>
      <c r="B407" s="3">
        <v>16121</v>
      </c>
      <c r="C407" s="18">
        <v>948</v>
      </c>
      <c r="D407" s="18">
        <v>948</v>
      </c>
      <c r="E407" s="19">
        <v>331.45561576795001</v>
      </c>
      <c r="F407" s="19">
        <v>372.81683431697797</v>
      </c>
      <c r="G407" s="12">
        <f>E407/Combined_Summary!$B$23</f>
        <v>1325.8224630718</v>
      </c>
      <c r="H407" s="12">
        <f>F407/Combined_Summary!$B$23</f>
        <v>1491.2673372679119</v>
      </c>
      <c r="I407" s="12">
        <f t="shared" si="12"/>
        <v>165.44487419611187</v>
      </c>
      <c r="J407" s="13">
        <f t="shared" si="13"/>
        <v>0.12478659760583057</v>
      </c>
    </row>
    <row r="408" spans="1:10" x14ac:dyDescent="0.35">
      <c r="A408" s="3">
        <v>54183</v>
      </c>
      <c r="B408" s="3">
        <v>187785</v>
      </c>
      <c r="C408" s="18">
        <v>582</v>
      </c>
      <c r="D408" s="18">
        <v>582</v>
      </c>
      <c r="E408" s="19">
        <v>372.92147377512299</v>
      </c>
      <c r="F408" s="19">
        <v>396.37676897081701</v>
      </c>
      <c r="G408" s="12">
        <f>E408/Combined_Summary!$B$23</f>
        <v>1491.685895100492</v>
      </c>
      <c r="H408" s="12">
        <f>F408/Combined_Summary!$B$23</f>
        <v>1585.507075883268</v>
      </c>
      <c r="I408" s="12">
        <f t="shared" si="12"/>
        <v>93.821180782776082</v>
      </c>
      <c r="J408" s="13">
        <f t="shared" si="13"/>
        <v>6.2896070205487556E-2</v>
      </c>
    </row>
    <row r="409" spans="1:10" x14ac:dyDescent="0.35">
      <c r="A409" s="3">
        <v>54184</v>
      </c>
      <c r="B409" s="3">
        <v>565439</v>
      </c>
      <c r="C409" s="18">
        <v>16</v>
      </c>
      <c r="D409" s="18">
        <v>16</v>
      </c>
      <c r="E409" s="19">
        <v>278.50299644470198</v>
      </c>
      <c r="F409" s="19">
        <v>332.45243644714401</v>
      </c>
      <c r="G409" s="12">
        <f>E409/Combined_Summary!$B$23</f>
        <v>1114.0119857788079</v>
      </c>
      <c r="H409" s="12">
        <f>F409/Combined_Summary!$B$23</f>
        <v>1329.809745788576</v>
      </c>
      <c r="I409" s="12">
        <f t="shared" si="12"/>
        <v>215.79776000976813</v>
      </c>
      <c r="J409" s="13">
        <f t="shared" si="13"/>
        <v>0.19371224256523908</v>
      </c>
    </row>
    <row r="410" spans="1:10" x14ac:dyDescent="0.35">
      <c r="A410" s="3">
        <v>54198</v>
      </c>
      <c r="B410" s="3">
        <v>182480</v>
      </c>
      <c r="C410" s="18">
        <v>760</v>
      </c>
      <c r="D410" s="18">
        <v>760</v>
      </c>
      <c r="E410" s="19">
        <v>346.10917440715599</v>
      </c>
      <c r="F410" s="19">
        <v>378.65051657024202</v>
      </c>
      <c r="G410" s="12">
        <f>E410/Combined_Summary!$B$23</f>
        <v>1384.436697628624</v>
      </c>
      <c r="H410" s="12">
        <f>F410/Combined_Summary!$B$23</f>
        <v>1514.6020662809681</v>
      </c>
      <c r="I410" s="12">
        <f t="shared" si="12"/>
        <v>130.16536865234411</v>
      </c>
      <c r="J410" s="13">
        <f t="shared" si="13"/>
        <v>9.4020455305253006E-2</v>
      </c>
    </row>
    <row r="411" spans="1:10" x14ac:dyDescent="0.35">
      <c r="A411" s="3">
        <v>54199</v>
      </c>
      <c r="B411" s="3">
        <v>566304</v>
      </c>
      <c r="C411" s="18">
        <v>16</v>
      </c>
      <c r="D411" s="18">
        <v>16</v>
      </c>
      <c r="E411" s="19">
        <v>249.33860588073699</v>
      </c>
      <c r="F411" s="19">
        <v>293.88274288177502</v>
      </c>
      <c r="G411" s="12">
        <f>E411/Combined_Summary!$B$23</f>
        <v>997.35442352294797</v>
      </c>
      <c r="H411" s="12">
        <f>F411/Combined_Summary!$B$23</f>
        <v>1175.5309715271001</v>
      </c>
      <c r="I411" s="12">
        <f t="shared" si="12"/>
        <v>178.1765480041521</v>
      </c>
      <c r="J411" s="13">
        <f t="shared" si="13"/>
        <v>0.17864917806729161</v>
      </c>
    </row>
    <row r="412" spans="1:10" x14ac:dyDescent="0.35">
      <c r="A412" s="3">
        <v>54219</v>
      </c>
      <c r="B412" s="3">
        <v>180987</v>
      </c>
      <c r="C412" s="18">
        <v>424</v>
      </c>
      <c r="D412" s="18">
        <v>424</v>
      </c>
      <c r="E412" s="19">
        <v>359.64535925523302</v>
      </c>
      <c r="F412" s="19">
        <v>382.999626609514</v>
      </c>
      <c r="G412" s="12">
        <f>E412/Combined_Summary!$B$23</f>
        <v>1438.5814370209321</v>
      </c>
      <c r="H412" s="12">
        <f>F412/Combined_Summary!$B$23</f>
        <v>1531.998506438056</v>
      </c>
      <c r="I412" s="12">
        <f t="shared" si="12"/>
        <v>93.417069417123912</v>
      </c>
      <c r="J412" s="13">
        <f t="shared" si="13"/>
        <v>6.4936935103636156E-2</v>
      </c>
    </row>
    <row r="413" spans="1:10" x14ac:dyDescent="0.35">
      <c r="A413" s="3">
        <v>54220</v>
      </c>
      <c r="B413" s="3">
        <v>182505</v>
      </c>
      <c r="C413" s="18">
        <v>661</v>
      </c>
      <c r="D413" s="18">
        <v>661</v>
      </c>
      <c r="E413" s="19">
        <v>345.492715688408</v>
      </c>
      <c r="F413" s="19">
        <v>371.87483471568902</v>
      </c>
      <c r="G413" s="12">
        <f>E413/Combined_Summary!$B$23</f>
        <v>1381.970862753632</v>
      </c>
      <c r="H413" s="12">
        <f>F413/Combined_Summary!$B$23</f>
        <v>1487.4993388627561</v>
      </c>
      <c r="I413" s="12">
        <f t="shared" si="12"/>
        <v>105.52847610912409</v>
      </c>
      <c r="J413" s="13">
        <f t="shared" si="13"/>
        <v>7.6360854597798386E-2</v>
      </c>
    </row>
    <row r="414" spans="1:10" x14ac:dyDescent="0.35">
      <c r="A414" s="3">
        <v>54221</v>
      </c>
      <c r="B414" s="3">
        <v>182436</v>
      </c>
      <c r="C414" s="18">
        <v>738</v>
      </c>
      <c r="D414" s="18">
        <v>738</v>
      </c>
      <c r="E414" s="19">
        <v>325.730444336971</v>
      </c>
      <c r="F414" s="19">
        <v>358.34168299232999</v>
      </c>
      <c r="G414" s="12">
        <f>E414/Combined_Summary!$B$23</f>
        <v>1302.921777347884</v>
      </c>
      <c r="H414" s="12">
        <f>F414/Combined_Summary!$B$23</f>
        <v>1433.36673196932</v>
      </c>
      <c r="I414" s="12">
        <f t="shared" si="12"/>
        <v>130.44495462143595</v>
      </c>
      <c r="J414" s="13">
        <f t="shared" si="13"/>
        <v>0.10011725714413841</v>
      </c>
    </row>
    <row r="415" spans="1:10" x14ac:dyDescent="0.35">
      <c r="A415" s="3">
        <v>54233</v>
      </c>
      <c r="B415" s="3">
        <v>180991</v>
      </c>
      <c r="C415" s="18">
        <v>770</v>
      </c>
      <c r="D415" s="18">
        <v>770</v>
      </c>
      <c r="E415" s="19">
        <v>336.17699186647098</v>
      </c>
      <c r="F415" s="19">
        <v>365.60728654737602</v>
      </c>
      <c r="G415" s="12">
        <f>E415/Combined_Summary!$B$23</f>
        <v>1344.7079674658839</v>
      </c>
      <c r="H415" s="12">
        <f>F415/Combined_Summary!$B$23</f>
        <v>1462.4291461895041</v>
      </c>
      <c r="I415" s="12">
        <f t="shared" si="12"/>
        <v>117.72117872362014</v>
      </c>
      <c r="J415" s="13">
        <f t="shared" si="13"/>
        <v>8.7544047906153874E-2</v>
      </c>
    </row>
    <row r="416" spans="1:10" x14ac:dyDescent="0.35">
      <c r="A416" s="3">
        <v>54234</v>
      </c>
      <c r="B416" s="3">
        <v>181007</v>
      </c>
      <c r="C416" s="18">
        <v>548</v>
      </c>
      <c r="D416" s="18">
        <v>548</v>
      </c>
      <c r="E416" s="19">
        <v>339.78245511716301</v>
      </c>
      <c r="F416" s="19">
        <v>362.66994504162898</v>
      </c>
      <c r="G416" s="12">
        <f>E416/Combined_Summary!$B$23</f>
        <v>1359.129820468652</v>
      </c>
      <c r="H416" s="12">
        <f>F416/Combined_Summary!$B$23</f>
        <v>1450.6797801665159</v>
      </c>
      <c r="I416" s="12">
        <f t="shared" si="12"/>
        <v>91.549959697863869</v>
      </c>
      <c r="J416" s="13">
        <f t="shared" si="13"/>
        <v>6.7359245834438253E-2</v>
      </c>
    </row>
    <row r="417" spans="1:10" x14ac:dyDescent="0.35">
      <c r="A417" s="3">
        <v>54235</v>
      </c>
      <c r="B417" s="3">
        <v>639575</v>
      </c>
      <c r="C417" s="18">
        <v>16</v>
      </c>
      <c r="D417" s="18">
        <v>16</v>
      </c>
      <c r="E417" s="19">
        <v>273.21807670593302</v>
      </c>
      <c r="F417" s="19">
        <v>316.62847518920898</v>
      </c>
      <c r="G417" s="12">
        <f>E417/Combined_Summary!$B$23</f>
        <v>1092.8723068237321</v>
      </c>
      <c r="H417" s="12">
        <f>F417/Combined_Summary!$B$23</f>
        <v>1266.5139007568359</v>
      </c>
      <c r="I417" s="12">
        <f t="shared" si="12"/>
        <v>173.64159393310388</v>
      </c>
      <c r="J417" s="13">
        <f t="shared" si="13"/>
        <v>0.15888552839056458</v>
      </c>
    </row>
    <row r="418" spans="1:10" x14ac:dyDescent="0.35">
      <c r="A418" s="3">
        <v>54236</v>
      </c>
      <c r="B418" s="3">
        <v>182434</v>
      </c>
      <c r="C418" s="18">
        <v>961</v>
      </c>
      <c r="D418" s="18">
        <v>961</v>
      </c>
      <c r="E418" s="19">
        <v>295.12582282742198</v>
      </c>
      <c r="F418" s="19">
        <v>335.91898209396197</v>
      </c>
      <c r="G418" s="12">
        <f>E418/Combined_Summary!$B$23</f>
        <v>1180.5032913096879</v>
      </c>
      <c r="H418" s="12">
        <f>F418/Combined_Summary!$B$23</f>
        <v>1343.6759283758479</v>
      </c>
      <c r="I418" s="12">
        <f t="shared" si="12"/>
        <v>163.17263706615995</v>
      </c>
      <c r="J418" s="13">
        <f t="shared" si="13"/>
        <v>0.13822294123816548</v>
      </c>
    </row>
    <row r="419" spans="1:10" x14ac:dyDescent="0.35">
      <c r="A419" s="3">
        <v>54237</v>
      </c>
      <c r="B419" s="3">
        <v>187749</v>
      </c>
      <c r="C419" s="18">
        <v>1244</v>
      </c>
      <c r="D419" s="18">
        <v>1244</v>
      </c>
      <c r="E419" s="19">
        <v>347.78773373422899</v>
      </c>
      <c r="F419" s="19">
        <v>377.69693323117002</v>
      </c>
      <c r="G419" s="12">
        <f>E419/Combined_Summary!$B$23</f>
        <v>1391.150934936916</v>
      </c>
      <c r="H419" s="12">
        <f>F419/Combined_Summary!$B$23</f>
        <v>1510.7877329246801</v>
      </c>
      <c r="I419" s="12">
        <f t="shared" si="12"/>
        <v>119.63679798776411</v>
      </c>
      <c r="J419" s="13">
        <f t="shared" si="13"/>
        <v>8.5998431214934445E-2</v>
      </c>
    </row>
    <row r="420" spans="1:10" x14ac:dyDescent="0.35">
      <c r="A420" s="3">
        <v>54238</v>
      </c>
      <c r="B420" s="3">
        <v>574349</v>
      </c>
      <c r="C420" s="18">
        <v>16</v>
      </c>
      <c r="D420" s="18">
        <v>16</v>
      </c>
      <c r="E420" s="19">
        <v>427.77690315246599</v>
      </c>
      <c r="F420" s="19">
        <v>450.37602806091297</v>
      </c>
      <c r="G420" s="12">
        <f>E420/Combined_Summary!$B$23</f>
        <v>1711.107612609864</v>
      </c>
      <c r="H420" s="12">
        <f>F420/Combined_Summary!$B$23</f>
        <v>1801.5041122436519</v>
      </c>
      <c r="I420" s="12">
        <f t="shared" si="12"/>
        <v>90.396499633787926</v>
      </c>
      <c r="J420" s="13">
        <f t="shared" si="13"/>
        <v>5.2829231176121538E-2</v>
      </c>
    </row>
    <row r="421" spans="1:10" x14ac:dyDescent="0.35">
      <c r="A421" s="3">
        <v>54254</v>
      </c>
      <c r="B421" s="3">
        <v>182488</v>
      </c>
      <c r="C421" s="18">
        <v>586</v>
      </c>
      <c r="D421" s="18">
        <v>586</v>
      </c>
      <c r="E421" s="19">
        <v>324.039983423904</v>
      </c>
      <c r="F421" s="19">
        <v>361.00194658923903</v>
      </c>
      <c r="G421" s="12">
        <f>E421/Combined_Summary!$B$23</f>
        <v>1296.159933695616</v>
      </c>
      <c r="H421" s="12">
        <f>F421/Combined_Summary!$B$23</f>
        <v>1444.0077863569561</v>
      </c>
      <c r="I421" s="12">
        <f t="shared" si="12"/>
        <v>147.84785266134008</v>
      </c>
      <c r="J421" s="13">
        <f t="shared" si="13"/>
        <v>0.11406605683281364</v>
      </c>
    </row>
    <row r="422" spans="1:10" x14ac:dyDescent="0.35">
      <c r="A422" s="3">
        <v>54255</v>
      </c>
      <c r="B422" s="3">
        <v>596096</v>
      </c>
      <c r="C422" s="18">
        <v>16</v>
      </c>
      <c r="D422" s="18">
        <v>16</v>
      </c>
      <c r="E422" s="19">
        <v>312.76645088195801</v>
      </c>
      <c r="F422" s="19">
        <v>351.17233467102102</v>
      </c>
      <c r="G422" s="12">
        <f>E422/Combined_Summary!$B$23</f>
        <v>1251.065803527832</v>
      </c>
      <c r="H422" s="12">
        <f>F422/Combined_Summary!$B$23</f>
        <v>1404.6893386840841</v>
      </c>
      <c r="I422" s="12">
        <f t="shared" si="12"/>
        <v>153.62353515625205</v>
      </c>
      <c r="J422" s="13">
        <f t="shared" si="13"/>
        <v>0.12279412859264076</v>
      </c>
    </row>
    <row r="423" spans="1:10" x14ac:dyDescent="0.35">
      <c r="A423" s="3">
        <v>54256</v>
      </c>
      <c r="B423" s="3">
        <v>469117</v>
      </c>
      <c r="C423" s="18">
        <v>754</v>
      </c>
      <c r="D423" s="18">
        <v>754</v>
      </c>
      <c r="E423" s="19">
        <v>324.46677729052601</v>
      </c>
      <c r="F423" s="19">
        <v>360.43057366328202</v>
      </c>
      <c r="G423" s="12">
        <f>E423/Combined_Summary!$B$23</f>
        <v>1297.867109162104</v>
      </c>
      <c r="H423" s="12">
        <f>F423/Combined_Summary!$B$23</f>
        <v>1441.7222946531281</v>
      </c>
      <c r="I423" s="12">
        <f t="shared" si="12"/>
        <v>143.85518549102403</v>
      </c>
      <c r="J423" s="13">
        <f t="shared" si="13"/>
        <v>0.11083968803546933</v>
      </c>
    </row>
    <row r="424" spans="1:10" x14ac:dyDescent="0.35">
      <c r="A424" s="3">
        <v>54266</v>
      </c>
      <c r="B424" s="3">
        <v>632577</v>
      </c>
      <c r="C424" s="18">
        <v>16</v>
      </c>
      <c r="D424" s="18">
        <v>16</v>
      </c>
      <c r="E424" s="19">
        <v>123.230306148529</v>
      </c>
      <c r="F424" s="19">
        <v>183.93128681182901</v>
      </c>
      <c r="G424" s="12">
        <f>E424/Combined_Summary!$B$23</f>
        <v>492.92122459411598</v>
      </c>
      <c r="H424" s="12">
        <f>F424/Combined_Summary!$B$23</f>
        <v>735.72514724731604</v>
      </c>
      <c r="I424" s="12">
        <f t="shared" si="12"/>
        <v>242.80392265320006</v>
      </c>
      <c r="J424" s="13">
        <f t="shared" si="13"/>
        <v>0.49258159425602144</v>
      </c>
    </row>
    <row r="425" spans="1:10" x14ac:dyDescent="0.35">
      <c r="A425" s="3">
        <v>56771</v>
      </c>
      <c r="B425" s="3">
        <v>187603</v>
      </c>
      <c r="C425" s="18">
        <v>886</v>
      </c>
      <c r="D425" s="18">
        <v>886</v>
      </c>
      <c r="E425" s="19">
        <v>274.86225560018198</v>
      </c>
      <c r="F425" s="19">
        <v>311.22665479328498</v>
      </c>
      <c r="G425" s="12">
        <f>E425/Combined_Summary!$B$23</f>
        <v>1099.4490224007279</v>
      </c>
      <c r="H425" s="12">
        <f>F425/Combined_Summary!$B$23</f>
        <v>1244.9066191731399</v>
      </c>
      <c r="I425" s="12">
        <f t="shared" si="12"/>
        <v>145.45759677241199</v>
      </c>
      <c r="J425" s="13">
        <f t="shared" si="13"/>
        <v>0.13230044668628166</v>
      </c>
    </row>
    <row r="426" spans="1:10" x14ac:dyDescent="0.35">
      <c r="A426" s="3">
        <v>56786</v>
      </c>
      <c r="B426" s="3">
        <v>182285</v>
      </c>
      <c r="C426" s="18">
        <v>400</v>
      </c>
      <c r="D426" s="18">
        <v>400</v>
      </c>
      <c r="E426" s="19">
        <v>343.64083754539502</v>
      </c>
      <c r="F426" s="19">
        <v>373.52429206848097</v>
      </c>
      <c r="G426" s="12">
        <f>E426/Combined_Summary!$B$23</f>
        <v>1374.5633501815801</v>
      </c>
      <c r="H426" s="12">
        <f>F426/Combined_Summary!$B$23</f>
        <v>1494.0971682739239</v>
      </c>
      <c r="I426" s="12">
        <f t="shared" si="12"/>
        <v>119.53381809234384</v>
      </c>
      <c r="J426" s="13">
        <f t="shared" si="13"/>
        <v>8.6961301621022696E-2</v>
      </c>
    </row>
    <row r="427" spans="1:10" x14ac:dyDescent="0.35">
      <c r="A427" s="3">
        <v>56787</v>
      </c>
      <c r="B427" s="3">
        <v>187511</v>
      </c>
      <c r="C427" s="18">
        <v>418</v>
      </c>
      <c r="D427" s="18">
        <v>418</v>
      </c>
      <c r="E427" s="19">
        <v>363.958766152414</v>
      </c>
      <c r="F427" s="19">
        <v>383.972934485623</v>
      </c>
      <c r="G427" s="12">
        <f>E427/Combined_Summary!$B$23</f>
        <v>1455.835064609656</v>
      </c>
      <c r="H427" s="12">
        <f>F427/Combined_Summary!$B$23</f>
        <v>1535.891737942492</v>
      </c>
      <c r="I427" s="12">
        <f t="shared" si="12"/>
        <v>80.056673332835999</v>
      </c>
      <c r="J427" s="13">
        <f t="shared" si="13"/>
        <v>5.4990208217234479E-2</v>
      </c>
    </row>
    <row r="428" spans="1:10" x14ac:dyDescent="0.35">
      <c r="A428" s="3">
        <v>56788</v>
      </c>
      <c r="B428" s="3">
        <v>187514</v>
      </c>
      <c r="C428" s="18">
        <v>241</v>
      </c>
      <c r="D428" s="18">
        <v>241</v>
      </c>
      <c r="E428" s="19">
        <v>368.18993368188399</v>
      </c>
      <c r="F428" s="19">
        <v>398.850025984262</v>
      </c>
      <c r="G428" s="12">
        <f>E428/Combined_Summary!$B$23</f>
        <v>1472.7597347275359</v>
      </c>
      <c r="H428" s="12">
        <f>F428/Combined_Summary!$B$23</f>
        <v>1595.400103937048</v>
      </c>
      <c r="I428" s="12">
        <f t="shared" si="12"/>
        <v>122.64036920951207</v>
      </c>
      <c r="J428" s="13">
        <f t="shared" si="13"/>
        <v>8.3272489271443068E-2</v>
      </c>
    </row>
    <row r="429" spans="1:10" x14ac:dyDescent="0.35">
      <c r="A429" s="3">
        <v>56789</v>
      </c>
      <c r="B429" s="3">
        <v>643814</v>
      </c>
      <c r="C429" s="18">
        <v>16</v>
      </c>
      <c r="D429" s="18">
        <v>16</v>
      </c>
      <c r="E429" s="19">
        <v>327.05044555664102</v>
      </c>
      <c r="F429" s="19">
        <v>350.871494293213</v>
      </c>
      <c r="G429" s="12">
        <f>E429/Combined_Summary!$B$23</f>
        <v>1308.2017822265641</v>
      </c>
      <c r="H429" s="12">
        <f>F429/Combined_Summary!$B$23</f>
        <v>1403.485977172852</v>
      </c>
      <c r="I429" s="12">
        <f t="shared" si="12"/>
        <v>95.284194946287926</v>
      </c>
      <c r="J429" s="13">
        <f t="shared" si="13"/>
        <v>7.2836007595184507E-2</v>
      </c>
    </row>
    <row r="430" spans="1:10" x14ac:dyDescent="0.35">
      <c r="A430" s="3">
        <v>56790</v>
      </c>
      <c r="B430" s="3">
        <v>187614</v>
      </c>
      <c r="C430" s="18">
        <v>554</v>
      </c>
      <c r="D430" s="18">
        <v>554</v>
      </c>
      <c r="E430" s="19">
        <v>356.39652647438498</v>
      </c>
      <c r="F430" s="19">
        <v>383.81124310545101</v>
      </c>
      <c r="G430" s="12">
        <f>E430/Combined_Summary!$B$23</f>
        <v>1425.5861058975399</v>
      </c>
      <c r="H430" s="12">
        <f>F430/Combined_Summary!$B$23</f>
        <v>1535.2449724218041</v>
      </c>
      <c r="I430" s="12">
        <f t="shared" si="12"/>
        <v>109.65886652426411</v>
      </c>
      <c r="J430" s="13">
        <f t="shared" si="13"/>
        <v>7.6921952360936893E-2</v>
      </c>
    </row>
    <row r="431" spans="1:10" x14ac:dyDescent="0.35">
      <c r="A431" s="3">
        <v>56799</v>
      </c>
      <c r="B431" s="3">
        <v>182274</v>
      </c>
      <c r="C431" s="18">
        <v>673</v>
      </c>
      <c r="D431" s="18">
        <v>673</v>
      </c>
      <c r="E431" s="19">
        <v>293.64026644113</v>
      </c>
      <c r="F431" s="19">
        <v>332.64550703028902</v>
      </c>
      <c r="G431" s="12">
        <f>E431/Combined_Summary!$B$23</f>
        <v>1174.56106576452</v>
      </c>
      <c r="H431" s="12">
        <f>F431/Combined_Summary!$B$23</f>
        <v>1330.5820281211561</v>
      </c>
      <c r="I431" s="12">
        <f t="shared" si="12"/>
        <v>156.02096235663612</v>
      </c>
      <c r="J431" s="13">
        <f t="shared" si="13"/>
        <v>0.13283341914205399</v>
      </c>
    </row>
    <row r="432" spans="1:10" x14ac:dyDescent="0.35">
      <c r="A432" s="3">
        <v>56800</v>
      </c>
      <c r="B432" s="3">
        <v>187646</v>
      </c>
      <c r="C432" s="18">
        <v>622</v>
      </c>
      <c r="D432" s="18">
        <v>622</v>
      </c>
      <c r="E432" s="19">
        <v>346.738721939529</v>
      </c>
      <c r="F432" s="19">
        <v>375.43164359334997</v>
      </c>
      <c r="G432" s="12">
        <f>E432/Combined_Summary!$B$23</f>
        <v>1386.954887758116</v>
      </c>
      <c r="H432" s="12">
        <f>F432/Combined_Summary!$B$23</f>
        <v>1501.7265743733999</v>
      </c>
      <c r="I432" s="12">
        <f t="shared" si="12"/>
        <v>114.7716866152839</v>
      </c>
      <c r="J432" s="13">
        <f t="shared" si="13"/>
        <v>8.2750843324689308E-2</v>
      </c>
    </row>
    <row r="433" spans="1:10" x14ac:dyDescent="0.35">
      <c r="A433" s="3">
        <v>56817</v>
      </c>
      <c r="B433" s="3">
        <v>597225</v>
      </c>
      <c r="C433" s="18">
        <v>16</v>
      </c>
      <c r="D433" s="18">
        <v>16</v>
      </c>
      <c r="E433" s="19">
        <v>145.375446557999</v>
      </c>
      <c r="F433" s="19">
        <v>176.46295118331901</v>
      </c>
      <c r="G433" s="12">
        <f>E433/Combined_Summary!$B$23</f>
        <v>581.50178623199599</v>
      </c>
      <c r="H433" s="12">
        <f>F433/Combined_Summary!$B$23</f>
        <v>705.85180473327603</v>
      </c>
      <c r="I433" s="12">
        <f t="shared" si="12"/>
        <v>124.35001850128003</v>
      </c>
      <c r="J433" s="13">
        <f t="shared" si="13"/>
        <v>0.21384288310968205</v>
      </c>
    </row>
    <row r="434" spans="1:10" x14ac:dyDescent="0.35">
      <c r="A434" s="3">
        <v>56818</v>
      </c>
      <c r="B434" s="3">
        <v>643815</v>
      </c>
      <c r="C434" s="18">
        <v>16</v>
      </c>
      <c r="D434" s="18">
        <v>16</v>
      </c>
      <c r="E434" s="19">
        <v>329.161504745483</v>
      </c>
      <c r="F434" s="19">
        <v>353.61168479919399</v>
      </c>
      <c r="G434" s="12">
        <f>E434/Combined_Summary!$B$23</f>
        <v>1316.646018981932</v>
      </c>
      <c r="H434" s="12">
        <f>F434/Combined_Summary!$B$23</f>
        <v>1414.446739196776</v>
      </c>
      <c r="I434" s="12">
        <f t="shared" si="12"/>
        <v>97.800720214843977</v>
      </c>
      <c r="J434" s="13">
        <f t="shared" si="13"/>
        <v>7.4280192857353003E-2</v>
      </c>
    </row>
    <row r="435" spans="1:10" x14ac:dyDescent="0.35">
      <c r="A435" s="3">
        <v>56819</v>
      </c>
      <c r="B435" s="3">
        <v>187572</v>
      </c>
      <c r="C435" s="18">
        <v>379</v>
      </c>
      <c r="D435" s="18">
        <v>379</v>
      </c>
      <c r="E435" s="19">
        <v>307.888637039466</v>
      </c>
      <c r="F435" s="19">
        <v>346.19379692782201</v>
      </c>
      <c r="G435" s="12">
        <f>E435/Combined_Summary!$B$23</f>
        <v>1231.554548157864</v>
      </c>
      <c r="H435" s="12">
        <f>F435/Combined_Summary!$B$23</f>
        <v>1384.775187711288</v>
      </c>
      <c r="I435" s="12">
        <f t="shared" si="12"/>
        <v>153.22063955342401</v>
      </c>
      <c r="J435" s="13">
        <f t="shared" si="13"/>
        <v>0.12441238577910214</v>
      </c>
    </row>
    <row r="436" spans="1:10" x14ac:dyDescent="0.35">
      <c r="A436" s="3">
        <v>56835</v>
      </c>
      <c r="B436" s="3">
        <v>182277</v>
      </c>
      <c r="C436" s="18">
        <v>585</v>
      </c>
      <c r="D436" s="18">
        <v>585</v>
      </c>
      <c r="E436" s="19">
        <v>354.60900349413203</v>
      </c>
      <c r="F436" s="19">
        <v>380.24119437454101</v>
      </c>
      <c r="G436" s="12">
        <f>E436/Combined_Summary!$B$23</f>
        <v>1418.4360139765281</v>
      </c>
      <c r="H436" s="12">
        <f>F436/Combined_Summary!$B$23</f>
        <v>1520.964777498164</v>
      </c>
      <c r="I436" s="12">
        <f t="shared" si="12"/>
        <v>102.52876352163594</v>
      </c>
      <c r="J436" s="13">
        <f t="shared" si="13"/>
        <v>7.2282966951889988E-2</v>
      </c>
    </row>
    <row r="437" spans="1:10" x14ac:dyDescent="0.35">
      <c r="A437" s="3">
        <v>56836</v>
      </c>
      <c r="B437" s="3">
        <v>182140</v>
      </c>
      <c r="C437" s="18">
        <v>308</v>
      </c>
      <c r="D437" s="18">
        <v>308</v>
      </c>
      <c r="E437" s="19">
        <v>288.041230982</v>
      </c>
      <c r="F437" s="19">
        <v>316.30001107748501</v>
      </c>
      <c r="G437" s="12">
        <f>E437/Combined_Summary!$B$23</f>
        <v>1152.164923928</v>
      </c>
      <c r="H437" s="12">
        <f>F437/Combined_Summary!$B$23</f>
        <v>1265.20004430994</v>
      </c>
      <c r="I437" s="12">
        <f t="shared" si="12"/>
        <v>113.03512038194003</v>
      </c>
      <c r="J437" s="13">
        <f t="shared" si="13"/>
        <v>9.8106718955283626E-2</v>
      </c>
    </row>
    <row r="438" spans="1:10" x14ac:dyDescent="0.35">
      <c r="A438" s="3">
        <v>56837</v>
      </c>
      <c r="B438" s="3">
        <v>182524</v>
      </c>
      <c r="C438" s="18">
        <v>475</v>
      </c>
      <c r="D438" s="18">
        <v>475</v>
      </c>
      <c r="E438" s="19">
        <v>327.27869071558899</v>
      </c>
      <c r="F438" s="19">
        <v>355.77018288060202</v>
      </c>
      <c r="G438" s="12">
        <f>E438/Combined_Summary!$B$23</f>
        <v>1309.114762862356</v>
      </c>
      <c r="H438" s="12">
        <f>F438/Combined_Summary!$B$23</f>
        <v>1423.0807315224081</v>
      </c>
      <c r="I438" s="12">
        <f t="shared" si="12"/>
        <v>113.96596866005211</v>
      </c>
      <c r="J438" s="13">
        <f t="shared" si="13"/>
        <v>8.7055750873107227E-2</v>
      </c>
    </row>
    <row r="439" spans="1:10" x14ac:dyDescent="0.35">
      <c r="A439" s="3">
        <v>56838</v>
      </c>
      <c r="B439" s="3">
        <v>182554</v>
      </c>
      <c r="C439" s="18">
        <v>487</v>
      </c>
      <c r="D439" s="18">
        <v>487</v>
      </c>
      <c r="E439" s="19">
        <v>354.15660549531998</v>
      </c>
      <c r="F439" s="19">
        <v>383.33096542201702</v>
      </c>
      <c r="G439" s="12">
        <f>E439/Combined_Summary!$B$23</f>
        <v>1416.6264219812799</v>
      </c>
      <c r="H439" s="12">
        <f>F439/Combined_Summary!$B$23</f>
        <v>1533.3238616880681</v>
      </c>
      <c r="I439" s="12">
        <f t="shared" si="12"/>
        <v>116.69743970678815</v>
      </c>
      <c r="J439" s="13">
        <f t="shared" si="13"/>
        <v>8.2377003489442366E-2</v>
      </c>
    </row>
    <row r="440" spans="1:10" x14ac:dyDescent="0.35">
      <c r="A440" s="3">
        <v>56839</v>
      </c>
      <c r="B440" s="3">
        <v>187562</v>
      </c>
      <c r="C440" s="18">
        <v>315</v>
      </c>
      <c r="D440" s="18">
        <v>315</v>
      </c>
      <c r="E440" s="19">
        <v>325.48404875255801</v>
      </c>
      <c r="F440" s="19">
        <v>358.70814334929901</v>
      </c>
      <c r="G440" s="12">
        <f>E440/Combined_Summary!$B$23</f>
        <v>1301.936195010232</v>
      </c>
      <c r="H440" s="12">
        <f>F440/Combined_Summary!$B$23</f>
        <v>1434.832573397196</v>
      </c>
      <c r="I440" s="12">
        <f t="shared" si="12"/>
        <v>132.89637838696399</v>
      </c>
      <c r="J440" s="13">
        <f t="shared" si="13"/>
        <v>0.10207595341177188</v>
      </c>
    </row>
    <row r="441" spans="1:10" x14ac:dyDescent="0.35">
      <c r="A441" s="3">
        <v>56840</v>
      </c>
      <c r="B441" s="3">
        <v>187576</v>
      </c>
      <c r="C441" s="18">
        <v>603</v>
      </c>
      <c r="D441" s="18">
        <v>603</v>
      </c>
      <c r="E441" s="19">
        <v>336.10162898833897</v>
      </c>
      <c r="F441" s="19">
        <v>363.78385040890498</v>
      </c>
      <c r="G441" s="12">
        <f>E441/Combined_Summary!$B$23</f>
        <v>1344.4065159533559</v>
      </c>
      <c r="H441" s="12">
        <f>F441/Combined_Summary!$B$23</f>
        <v>1455.1354016356199</v>
      </c>
      <c r="I441" s="12">
        <f t="shared" si="12"/>
        <v>110.72888568226404</v>
      </c>
      <c r="J441" s="13">
        <f t="shared" si="13"/>
        <v>8.2362651748785307E-2</v>
      </c>
    </row>
    <row r="442" spans="1:10" x14ac:dyDescent="0.35">
      <c r="A442" s="3">
        <v>56841</v>
      </c>
      <c r="B442" s="3">
        <v>187577</v>
      </c>
      <c r="C442" s="18">
        <v>585</v>
      </c>
      <c r="D442" s="18">
        <v>585</v>
      </c>
      <c r="E442" s="19">
        <v>347.40421100844702</v>
      </c>
      <c r="F442" s="19">
        <v>382.25447927621701</v>
      </c>
      <c r="G442" s="12">
        <f>E442/Combined_Summary!$B$23</f>
        <v>1389.6168440337881</v>
      </c>
      <c r="H442" s="12">
        <f>F442/Combined_Summary!$B$23</f>
        <v>1529.017917104868</v>
      </c>
      <c r="I442" s="12">
        <f t="shared" si="12"/>
        <v>139.40107307107996</v>
      </c>
      <c r="J442" s="13">
        <f t="shared" si="13"/>
        <v>0.1003161941146494</v>
      </c>
    </row>
    <row r="443" spans="1:10" x14ac:dyDescent="0.35">
      <c r="A443" s="3">
        <v>56842</v>
      </c>
      <c r="B443" s="3">
        <v>463405</v>
      </c>
      <c r="C443" s="18">
        <v>1391</v>
      </c>
      <c r="D443" s="18">
        <v>1391</v>
      </c>
      <c r="E443" s="19">
        <v>350.03637398034903</v>
      </c>
      <c r="F443" s="19">
        <v>381.030199655606</v>
      </c>
      <c r="G443" s="12">
        <f>E443/Combined_Summary!$B$23</f>
        <v>1400.1454959213961</v>
      </c>
      <c r="H443" s="12">
        <f>F443/Combined_Summary!$B$23</f>
        <v>1524.120798622424</v>
      </c>
      <c r="I443" s="12">
        <f t="shared" si="12"/>
        <v>123.97530270102789</v>
      </c>
      <c r="J443" s="13">
        <f t="shared" si="13"/>
        <v>8.8544585589259248E-2</v>
      </c>
    </row>
    <row r="444" spans="1:10" x14ac:dyDescent="0.35">
      <c r="A444" s="3">
        <v>56843</v>
      </c>
      <c r="B444" s="3">
        <v>187644</v>
      </c>
      <c r="C444" s="18">
        <v>525</v>
      </c>
      <c r="D444" s="18">
        <v>525</v>
      </c>
      <c r="E444" s="19">
        <v>308.81522957938103</v>
      </c>
      <c r="F444" s="19">
        <v>347.22682502383299</v>
      </c>
      <c r="G444" s="12">
        <f>E444/Combined_Summary!$B$23</f>
        <v>1235.2609183175241</v>
      </c>
      <c r="H444" s="12">
        <f>F444/Combined_Summary!$B$23</f>
        <v>1388.9073000953319</v>
      </c>
      <c r="I444" s="12">
        <f t="shared" si="12"/>
        <v>153.64638177780785</v>
      </c>
      <c r="J444" s="13">
        <f t="shared" si="13"/>
        <v>0.12438374719009204</v>
      </c>
    </row>
    <row r="445" spans="1:10" x14ac:dyDescent="0.35">
      <c r="A445" s="3">
        <v>56858</v>
      </c>
      <c r="B445" s="3">
        <v>193896</v>
      </c>
      <c r="C445" s="18">
        <v>330</v>
      </c>
      <c r="D445" s="18">
        <v>330</v>
      </c>
      <c r="E445" s="19">
        <v>275.99373375863701</v>
      </c>
      <c r="F445" s="19">
        <v>321.66398313117799</v>
      </c>
      <c r="G445" s="12">
        <f>E445/Combined_Summary!$B$23</f>
        <v>1103.974935034548</v>
      </c>
      <c r="H445" s="12">
        <f>F445/Combined_Summary!$B$23</f>
        <v>1286.6559325247119</v>
      </c>
      <c r="I445" s="12">
        <f t="shared" si="12"/>
        <v>182.68099749016392</v>
      </c>
      <c r="J445" s="13">
        <f t="shared" si="13"/>
        <v>0.16547567493862264</v>
      </c>
    </row>
    <row r="446" spans="1:10" x14ac:dyDescent="0.35">
      <c r="A446" s="3">
        <v>56859</v>
      </c>
      <c r="B446" s="3">
        <v>187424</v>
      </c>
      <c r="C446" s="18">
        <v>524</v>
      </c>
      <c r="D446" s="18">
        <v>524</v>
      </c>
      <c r="E446" s="19">
        <v>366.53475513895103</v>
      </c>
      <c r="F446" s="19">
        <v>394.29517464965397</v>
      </c>
      <c r="G446" s="12">
        <f>E446/Combined_Summary!$B$23</f>
        <v>1466.1390205558041</v>
      </c>
      <c r="H446" s="12">
        <f>F446/Combined_Summary!$B$23</f>
        <v>1577.1806985986159</v>
      </c>
      <c r="I446" s="12">
        <f t="shared" si="12"/>
        <v>111.04167804281178</v>
      </c>
      <c r="J446" s="13">
        <f t="shared" si="13"/>
        <v>7.5737482248249943E-2</v>
      </c>
    </row>
    <row r="447" spans="1:10" x14ac:dyDescent="0.35">
      <c r="A447" s="3">
        <v>56860</v>
      </c>
      <c r="B447" s="3">
        <v>187433</v>
      </c>
      <c r="C447" s="18">
        <v>713</v>
      </c>
      <c r="D447" s="18">
        <v>713</v>
      </c>
      <c r="E447" s="19">
        <v>321.13344248682102</v>
      </c>
      <c r="F447" s="19">
        <v>352.495518592096</v>
      </c>
      <c r="G447" s="12">
        <f>E447/Combined_Summary!$B$23</f>
        <v>1284.5337699472841</v>
      </c>
      <c r="H447" s="12">
        <f>F447/Combined_Summary!$B$23</f>
        <v>1409.982074368384</v>
      </c>
      <c r="I447" s="12">
        <f t="shared" si="12"/>
        <v>125.44830442109992</v>
      </c>
      <c r="J447" s="13">
        <f t="shared" si="13"/>
        <v>9.7660573319336072E-2</v>
      </c>
    </row>
    <row r="448" spans="1:10" x14ac:dyDescent="0.35">
      <c r="A448" s="3">
        <v>56873</v>
      </c>
      <c r="B448" s="3">
        <v>182517</v>
      </c>
      <c r="C448" s="18">
        <v>447</v>
      </c>
      <c r="D448" s="18">
        <v>447</v>
      </c>
      <c r="E448" s="19">
        <v>348.05870477731901</v>
      </c>
      <c r="F448" s="19">
        <v>378.55617111854599</v>
      </c>
      <c r="G448" s="12">
        <f>E448/Combined_Summary!$B$23</f>
        <v>1392.234819109276</v>
      </c>
      <c r="H448" s="12">
        <f>F448/Combined_Summary!$B$23</f>
        <v>1514.224684474184</v>
      </c>
      <c r="I448" s="12">
        <f t="shared" si="12"/>
        <v>121.98986536490793</v>
      </c>
      <c r="J448" s="13">
        <f t="shared" si="13"/>
        <v>8.7621616476274172E-2</v>
      </c>
    </row>
    <row r="449" spans="1:10" x14ac:dyDescent="0.35">
      <c r="A449" s="3">
        <v>56874</v>
      </c>
      <c r="B449" s="3">
        <v>187423</v>
      </c>
      <c r="C449" s="18">
        <v>562</v>
      </c>
      <c r="D449" s="18">
        <v>562</v>
      </c>
      <c r="E449" s="19">
        <v>367.15255911070301</v>
      </c>
      <c r="F449" s="19">
        <v>390.07652623458301</v>
      </c>
      <c r="G449" s="12">
        <f>E449/Combined_Summary!$B$23</f>
        <v>1468.610236442812</v>
      </c>
      <c r="H449" s="12">
        <f>F449/Combined_Summary!$B$23</f>
        <v>1560.3061049383321</v>
      </c>
      <c r="I449" s="12">
        <f t="shared" si="12"/>
        <v>91.695868495520017</v>
      </c>
      <c r="J449" s="13">
        <f t="shared" si="13"/>
        <v>6.243717102069285E-2</v>
      </c>
    </row>
    <row r="450" spans="1:10" x14ac:dyDescent="0.35">
      <c r="A450" s="3">
        <v>56891</v>
      </c>
      <c r="B450" s="3">
        <v>182544</v>
      </c>
      <c r="C450" s="18">
        <v>727</v>
      </c>
      <c r="D450" s="18">
        <v>727</v>
      </c>
      <c r="E450" s="19">
        <v>329.37587532872499</v>
      </c>
      <c r="F450" s="19">
        <v>355.75872761806397</v>
      </c>
      <c r="G450" s="12">
        <f>E450/Combined_Summary!$B$23</f>
        <v>1317.5035013148999</v>
      </c>
      <c r="H450" s="12">
        <f>F450/Combined_Summary!$B$23</f>
        <v>1423.0349104722559</v>
      </c>
      <c r="I450" s="12">
        <f t="shared" ref="I450:I513" si="14">H450-G450</f>
        <v>105.53140915735594</v>
      </c>
      <c r="J450" s="13">
        <f t="shared" ref="J450:J513" si="15">IF(G450=0,"",I450/G450)</f>
        <v>8.009952842784332E-2</v>
      </c>
    </row>
    <row r="451" spans="1:10" x14ac:dyDescent="0.35">
      <c r="A451" s="3">
        <v>56892</v>
      </c>
      <c r="B451" s="3">
        <v>182294</v>
      </c>
      <c r="C451" s="18">
        <v>427</v>
      </c>
      <c r="D451" s="18">
        <v>427</v>
      </c>
      <c r="E451" s="19">
        <v>333.100924793395</v>
      </c>
      <c r="F451" s="19">
        <v>357.47422154446701</v>
      </c>
      <c r="G451" s="12">
        <f>E451/Combined_Summary!$B$23</f>
        <v>1332.40369917358</v>
      </c>
      <c r="H451" s="12">
        <f>F451/Combined_Summary!$B$23</f>
        <v>1429.8968861778681</v>
      </c>
      <c r="I451" s="12">
        <f t="shared" si="14"/>
        <v>97.493187004288075</v>
      </c>
      <c r="J451" s="13">
        <f t="shared" si="15"/>
        <v>7.317090688412077E-2</v>
      </c>
    </row>
    <row r="452" spans="1:10" x14ac:dyDescent="0.35">
      <c r="A452" s="3">
        <v>56893</v>
      </c>
      <c r="B452" s="3">
        <v>188661</v>
      </c>
      <c r="C452" s="18">
        <v>684</v>
      </c>
      <c r="D452" s="18">
        <v>684</v>
      </c>
      <c r="E452" s="19">
        <v>332.59013396257598</v>
      </c>
      <c r="F452" s="19">
        <v>368.46452652780602</v>
      </c>
      <c r="G452" s="12">
        <f>E452/Combined_Summary!$B$23</f>
        <v>1330.3605358503039</v>
      </c>
      <c r="H452" s="12">
        <f>F452/Combined_Summary!$B$23</f>
        <v>1473.8581061112241</v>
      </c>
      <c r="I452" s="12">
        <f t="shared" si="14"/>
        <v>143.49757026092016</v>
      </c>
      <c r="J452" s="13">
        <f t="shared" si="15"/>
        <v>0.10786367033144384</v>
      </c>
    </row>
    <row r="453" spans="1:10" x14ac:dyDescent="0.35">
      <c r="A453" s="3">
        <v>56894</v>
      </c>
      <c r="B453" s="3">
        <v>187430</v>
      </c>
      <c r="C453" s="18">
        <v>320</v>
      </c>
      <c r="D453" s="18">
        <v>320</v>
      </c>
      <c r="E453" s="19">
        <v>330.15005161762201</v>
      </c>
      <c r="F453" s="19">
        <v>358.73768744468703</v>
      </c>
      <c r="G453" s="12">
        <f>E453/Combined_Summary!$B$23</f>
        <v>1320.600206470488</v>
      </c>
      <c r="H453" s="12">
        <f>F453/Combined_Summary!$B$23</f>
        <v>1434.9507497787481</v>
      </c>
      <c r="I453" s="12">
        <f t="shared" si="14"/>
        <v>114.35054330826006</v>
      </c>
      <c r="J453" s="13">
        <f t="shared" si="15"/>
        <v>8.6589826919594298E-2</v>
      </c>
    </row>
    <row r="454" spans="1:10" x14ac:dyDescent="0.35">
      <c r="A454" s="3">
        <v>56895</v>
      </c>
      <c r="B454" s="3">
        <v>188663</v>
      </c>
      <c r="C454" s="18">
        <v>584</v>
      </c>
      <c r="D454" s="18">
        <v>584</v>
      </c>
      <c r="E454" s="19">
        <v>342.45904309782298</v>
      </c>
      <c r="F454" s="19">
        <v>372.89420472759099</v>
      </c>
      <c r="G454" s="12">
        <f>E454/Combined_Summary!$B$23</f>
        <v>1369.8361723912919</v>
      </c>
      <c r="H454" s="12">
        <f>F454/Combined_Summary!$B$23</f>
        <v>1491.576818910364</v>
      </c>
      <c r="I454" s="12">
        <f t="shared" si="14"/>
        <v>121.74064651907202</v>
      </c>
      <c r="J454" s="13">
        <f t="shared" si="15"/>
        <v>8.8872413338707601E-2</v>
      </c>
    </row>
    <row r="455" spans="1:10" x14ac:dyDescent="0.35">
      <c r="A455" s="3">
        <v>56907</v>
      </c>
      <c r="B455" s="3">
        <v>180966</v>
      </c>
      <c r="C455" s="18">
        <v>686</v>
      </c>
      <c r="D455" s="18">
        <v>686</v>
      </c>
      <c r="E455" s="19">
        <v>359.23097929106501</v>
      </c>
      <c r="F455" s="19">
        <v>380.81433350143197</v>
      </c>
      <c r="G455" s="12">
        <f>E455/Combined_Summary!$B$23</f>
        <v>1436.92391716426</v>
      </c>
      <c r="H455" s="12">
        <f>F455/Combined_Summary!$B$23</f>
        <v>1523.2573340057279</v>
      </c>
      <c r="I455" s="12">
        <f t="shared" si="14"/>
        <v>86.333416841467852</v>
      </c>
      <c r="J455" s="13">
        <f t="shared" si="15"/>
        <v>6.0082107208463117E-2</v>
      </c>
    </row>
    <row r="456" spans="1:10" x14ac:dyDescent="0.35">
      <c r="A456" s="3">
        <v>56908</v>
      </c>
      <c r="B456" s="3">
        <v>180957</v>
      </c>
      <c r="C456" s="18">
        <v>825</v>
      </c>
      <c r="D456" s="18">
        <v>825</v>
      </c>
      <c r="E456" s="19">
        <v>344.05347444476502</v>
      </c>
      <c r="F456" s="19">
        <v>370.12052775065098</v>
      </c>
      <c r="G456" s="12">
        <f>E456/Combined_Summary!$B$23</f>
        <v>1376.2138977790601</v>
      </c>
      <c r="H456" s="12">
        <f>F456/Combined_Summary!$B$23</f>
        <v>1480.4821110026039</v>
      </c>
      <c r="I456" s="12">
        <f t="shared" si="14"/>
        <v>104.26821322354385</v>
      </c>
      <c r="J456" s="13">
        <f t="shared" si="15"/>
        <v>7.5764540230128727E-2</v>
      </c>
    </row>
    <row r="457" spans="1:10" x14ac:dyDescent="0.35">
      <c r="A457" s="3">
        <v>56909</v>
      </c>
      <c r="B457" s="3">
        <v>182450</v>
      </c>
      <c r="C457" s="18">
        <v>432</v>
      </c>
      <c r="D457" s="18">
        <v>432</v>
      </c>
      <c r="E457" s="19">
        <v>352.35479665685602</v>
      </c>
      <c r="F457" s="19">
        <v>380.00218511510798</v>
      </c>
      <c r="G457" s="12">
        <f>E457/Combined_Summary!$B$23</f>
        <v>1409.4191866274241</v>
      </c>
      <c r="H457" s="12">
        <f>F457/Combined_Summary!$B$23</f>
        <v>1520.0087404604319</v>
      </c>
      <c r="I457" s="12">
        <f t="shared" si="14"/>
        <v>110.58955383300781</v>
      </c>
      <c r="J457" s="13">
        <f t="shared" si="15"/>
        <v>7.8464629176530326E-2</v>
      </c>
    </row>
    <row r="458" spans="1:10" x14ac:dyDescent="0.35">
      <c r="A458" s="3">
        <v>56928</v>
      </c>
      <c r="B458" s="3">
        <v>182474</v>
      </c>
      <c r="C458" s="18">
        <v>780</v>
      </c>
      <c r="D458" s="18">
        <v>780</v>
      </c>
      <c r="E458" s="19">
        <v>344.838328796778</v>
      </c>
      <c r="F458" s="19">
        <v>374.28970201932498</v>
      </c>
      <c r="G458" s="12">
        <f>E458/Combined_Summary!$B$23</f>
        <v>1379.353315187112</v>
      </c>
      <c r="H458" s="12">
        <f>F458/Combined_Summary!$B$23</f>
        <v>1497.1588080772999</v>
      </c>
      <c r="I458" s="12">
        <f t="shared" si="14"/>
        <v>117.80549289018791</v>
      </c>
      <c r="J458" s="13">
        <f t="shared" si="15"/>
        <v>8.5406321638634958E-2</v>
      </c>
    </row>
    <row r="459" spans="1:10" x14ac:dyDescent="0.35">
      <c r="A459" s="3">
        <v>56929</v>
      </c>
      <c r="B459" s="3">
        <v>187672</v>
      </c>
      <c r="C459" s="18">
        <v>436</v>
      </c>
      <c r="D459" s="18">
        <v>436</v>
      </c>
      <c r="E459" s="19">
        <v>336.76479974799201</v>
      </c>
      <c r="F459" s="19">
        <v>360.27164660462603</v>
      </c>
      <c r="G459" s="12">
        <f>E459/Combined_Summary!$B$23</f>
        <v>1347.0591989919681</v>
      </c>
      <c r="H459" s="12">
        <f>F459/Combined_Summary!$B$23</f>
        <v>1441.0865864185041</v>
      </c>
      <c r="I459" s="12">
        <f t="shared" si="14"/>
        <v>94.027387426536052</v>
      </c>
      <c r="J459" s="13">
        <f t="shared" si="15"/>
        <v>6.9801971210247227E-2</v>
      </c>
    </row>
    <row r="460" spans="1:10" x14ac:dyDescent="0.35">
      <c r="A460" s="3">
        <v>56930</v>
      </c>
      <c r="B460" s="3">
        <v>638057</v>
      </c>
      <c r="C460" s="18">
        <v>16</v>
      </c>
      <c r="D460" s="18">
        <v>16</v>
      </c>
      <c r="E460" s="19">
        <v>283.13678073883102</v>
      </c>
      <c r="F460" s="19">
        <v>321.738525390625</v>
      </c>
      <c r="G460" s="12">
        <f>E460/Combined_Summary!$B$23</f>
        <v>1132.5471229553241</v>
      </c>
      <c r="H460" s="12">
        <f>F460/Combined_Summary!$B$23</f>
        <v>1286.9541015625</v>
      </c>
      <c r="I460" s="12">
        <f t="shared" si="14"/>
        <v>154.40697860717592</v>
      </c>
      <c r="J460" s="13">
        <f t="shared" si="15"/>
        <v>0.1363360300666861</v>
      </c>
    </row>
    <row r="461" spans="1:10" x14ac:dyDescent="0.35">
      <c r="A461" s="3">
        <v>56948</v>
      </c>
      <c r="B461" s="3">
        <v>180956</v>
      </c>
      <c r="C461" s="18">
        <v>772</v>
      </c>
      <c r="D461" s="18">
        <v>772</v>
      </c>
      <c r="E461" s="19">
        <v>319.04467622233199</v>
      </c>
      <c r="F461" s="19">
        <v>345.66381761817701</v>
      </c>
      <c r="G461" s="12">
        <f>E461/Combined_Summary!$B$23</f>
        <v>1276.1787048893279</v>
      </c>
      <c r="H461" s="12">
        <f>F461/Combined_Summary!$B$23</f>
        <v>1382.655270472708</v>
      </c>
      <c r="I461" s="12">
        <f t="shared" si="14"/>
        <v>106.47656558338008</v>
      </c>
      <c r="J461" s="13">
        <f t="shared" si="15"/>
        <v>8.3433899324165478E-2</v>
      </c>
    </row>
    <row r="462" spans="1:10" x14ac:dyDescent="0.35">
      <c r="A462" s="3">
        <v>56949</v>
      </c>
      <c r="B462" s="3">
        <v>182472</v>
      </c>
      <c r="C462" s="18">
        <v>594</v>
      </c>
      <c r="D462" s="18">
        <v>594</v>
      </c>
      <c r="E462" s="19">
        <v>338.34695321542199</v>
      </c>
      <c r="F462" s="19">
        <v>371.22995520440799</v>
      </c>
      <c r="G462" s="12">
        <f>E462/Combined_Summary!$B$23</f>
        <v>1353.387812861688</v>
      </c>
      <c r="H462" s="12">
        <f>F462/Combined_Summary!$B$23</f>
        <v>1484.9198208176319</v>
      </c>
      <c r="I462" s="12">
        <f t="shared" si="14"/>
        <v>131.53200795594398</v>
      </c>
      <c r="J462" s="13">
        <f t="shared" si="15"/>
        <v>9.7187226533261339E-2</v>
      </c>
    </row>
    <row r="463" spans="1:10" x14ac:dyDescent="0.35">
      <c r="A463" s="3">
        <v>56950</v>
      </c>
      <c r="B463" s="3">
        <v>188672</v>
      </c>
      <c r="C463" s="18">
        <v>494</v>
      </c>
      <c r="D463" s="18">
        <v>494</v>
      </c>
      <c r="E463" s="19">
        <v>335.85876219282301</v>
      </c>
      <c r="F463" s="19">
        <v>368.688781861834</v>
      </c>
      <c r="G463" s="12">
        <f>E463/Combined_Summary!$B$23</f>
        <v>1343.435048771292</v>
      </c>
      <c r="H463" s="12">
        <f>F463/Combined_Summary!$B$23</f>
        <v>1474.755127447336</v>
      </c>
      <c r="I463" s="12">
        <f t="shared" si="14"/>
        <v>131.32007867604398</v>
      </c>
      <c r="J463" s="13">
        <f t="shared" si="15"/>
        <v>9.7749480926636198E-2</v>
      </c>
    </row>
    <row r="464" spans="1:10" x14ac:dyDescent="0.35">
      <c r="A464" s="3">
        <v>56951</v>
      </c>
      <c r="B464" s="3">
        <v>188675</v>
      </c>
      <c r="C464" s="18">
        <v>575</v>
      </c>
      <c r="D464" s="18">
        <v>575</v>
      </c>
      <c r="E464" s="19">
        <v>339.47365973431101</v>
      </c>
      <c r="F464" s="19">
        <v>365.90814208984398</v>
      </c>
      <c r="G464" s="12">
        <f>E464/Combined_Summary!$B$23</f>
        <v>1357.8946389372441</v>
      </c>
      <c r="H464" s="12">
        <f>F464/Combined_Summary!$B$23</f>
        <v>1463.6325683593759</v>
      </c>
      <c r="I464" s="12">
        <f t="shared" si="14"/>
        <v>105.73792942213186</v>
      </c>
      <c r="J464" s="13">
        <f t="shared" si="15"/>
        <v>7.7869023405886348E-2</v>
      </c>
    </row>
    <row r="465" spans="1:10" x14ac:dyDescent="0.35">
      <c r="A465" s="3">
        <v>56952</v>
      </c>
      <c r="B465" s="3">
        <v>188678</v>
      </c>
      <c r="C465" s="18">
        <v>535</v>
      </c>
      <c r="D465" s="18">
        <v>535</v>
      </c>
      <c r="E465" s="19">
        <v>364.96658613258398</v>
      </c>
      <c r="F465" s="19">
        <v>400.12430180344597</v>
      </c>
      <c r="G465" s="12">
        <f>E465/Combined_Summary!$B$23</f>
        <v>1459.8663445303359</v>
      </c>
      <c r="H465" s="12">
        <f>F465/Combined_Summary!$B$23</f>
        <v>1600.4972072137839</v>
      </c>
      <c r="I465" s="12">
        <f t="shared" si="14"/>
        <v>140.63086268344796</v>
      </c>
      <c r="J465" s="13">
        <f t="shared" si="15"/>
        <v>9.6331327323455299E-2</v>
      </c>
    </row>
    <row r="466" spans="1:10" x14ac:dyDescent="0.35">
      <c r="A466" s="3">
        <v>56953</v>
      </c>
      <c r="B466" s="3">
        <v>187670</v>
      </c>
      <c r="C466" s="18">
        <v>419</v>
      </c>
      <c r="D466" s="18">
        <v>419</v>
      </c>
      <c r="E466" s="19">
        <v>348.61738526337501</v>
      </c>
      <c r="F466" s="19">
        <v>368.237067648221</v>
      </c>
      <c r="G466" s="12">
        <f>E466/Combined_Summary!$B$23</f>
        <v>1394.4695410535001</v>
      </c>
      <c r="H466" s="12">
        <f>F466/Combined_Summary!$B$23</f>
        <v>1472.948270592884</v>
      </c>
      <c r="I466" s="12">
        <f t="shared" si="14"/>
        <v>78.478729539383949</v>
      </c>
      <c r="J466" s="13">
        <f t="shared" si="15"/>
        <v>5.6278554123236346E-2</v>
      </c>
    </row>
    <row r="467" spans="1:10" x14ac:dyDescent="0.35">
      <c r="A467" s="3">
        <v>56954</v>
      </c>
      <c r="B467" s="3">
        <v>187703</v>
      </c>
      <c r="C467" s="18">
        <v>429</v>
      </c>
      <c r="D467" s="18">
        <v>429</v>
      </c>
      <c r="E467" s="19">
        <v>357.306402779959</v>
      </c>
      <c r="F467" s="19">
        <v>379.54325112651799</v>
      </c>
      <c r="G467" s="12">
        <f>E467/Combined_Summary!$B$23</f>
        <v>1429.225611119836</v>
      </c>
      <c r="H467" s="12">
        <f>F467/Combined_Summary!$B$23</f>
        <v>1518.1730045060719</v>
      </c>
      <c r="I467" s="12">
        <f t="shared" si="14"/>
        <v>88.947393386235944</v>
      </c>
      <c r="J467" s="13">
        <f t="shared" si="15"/>
        <v>6.2234676382928317E-2</v>
      </c>
    </row>
    <row r="468" spans="1:10" x14ac:dyDescent="0.35">
      <c r="A468" s="3">
        <v>56969</v>
      </c>
      <c r="B468" s="3">
        <v>180946</v>
      </c>
      <c r="C468" s="18">
        <v>673</v>
      </c>
      <c r="D468" s="18">
        <v>673</v>
      </c>
      <c r="E468" s="19">
        <v>337.73799734129801</v>
      </c>
      <c r="F468" s="19">
        <v>362.507038688943</v>
      </c>
      <c r="G468" s="12">
        <f>E468/Combined_Summary!$B$23</f>
        <v>1350.951989365192</v>
      </c>
      <c r="H468" s="12">
        <f>F468/Combined_Summary!$B$23</f>
        <v>1450.028154755772</v>
      </c>
      <c r="I468" s="12">
        <f t="shared" si="14"/>
        <v>99.076165390579945</v>
      </c>
      <c r="J468" s="13">
        <f t="shared" si="15"/>
        <v>7.3338035822528014E-2</v>
      </c>
    </row>
    <row r="469" spans="1:10" x14ac:dyDescent="0.35">
      <c r="A469" s="3">
        <v>56970</v>
      </c>
      <c r="B469" s="3">
        <v>180948</v>
      </c>
      <c r="C469" s="18">
        <v>660</v>
      </c>
      <c r="D469" s="18">
        <v>660</v>
      </c>
      <c r="E469" s="19">
        <v>310.30845905650699</v>
      </c>
      <c r="F469" s="19">
        <v>338.81808247421702</v>
      </c>
      <c r="G469" s="12">
        <f>E469/Combined_Summary!$B$23</f>
        <v>1241.233836226028</v>
      </c>
      <c r="H469" s="12">
        <f>F469/Combined_Summary!$B$23</f>
        <v>1355.2723298968681</v>
      </c>
      <c r="I469" s="12">
        <f t="shared" si="14"/>
        <v>114.03849367084013</v>
      </c>
      <c r="J469" s="13">
        <f t="shared" si="15"/>
        <v>9.1875108736621469E-2</v>
      </c>
    </row>
    <row r="470" spans="1:10" x14ac:dyDescent="0.35">
      <c r="A470" s="3">
        <v>56971</v>
      </c>
      <c r="B470" s="3">
        <v>187418</v>
      </c>
      <c r="C470" s="18">
        <v>626</v>
      </c>
      <c r="D470" s="18">
        <v>626</v>
      </c>
      <c r="E470" s="19">
        <v>360.09415198134201</v>
      </c>
      <c r="F470" s="19">
        <v>389.85053696799997</v>
      </c>
      <c r="G470" s="12">
        <f>E470/Combined_Summary!$B$23</f>
        <v>1440.376607925368</v>
      </c>
      <c r="H470" s="12">
        <f>F470/Combined_Summary!$B$23</f>
        <v>1559.4021478719999</v>
      </c>
      <c r="I470" s="12">
        <f t="shared" si="14"/>
        <v>119.02553994663185</v>
      </c>
      <c r="J470" s="13">
        <f t="shared" si="15"/>
        <v>8.2635013156780637E-2</v>
      </c>
    </row>
    <row r="471" spans="1:10" x14ac:dyDescent="0.35">
      <c r="A471" s="3">
        <v>56972</v>
      </c>
      <c r="B471" s="3">
        <v>187421</v>
      </c>
      <c r="C471" s="18">
        <v>699</v>
      </c>
      <c r="D471" s="18">
        <v>699</v>
      </c>
      <c r="E471" s="19">
        <v>322.75203846725401</v>
      </c>
      <c r="F471" s="19">
        <v>357.05882889689002</v>
      </c>
      <c r="G471" s="12">
        <f>E471/Combined_Summary!$B$23</f>
        <v>1291.008153869016</v>
      </c>
      <c r="H471" s="12">
        <f>F471/Combined_Summary!$B$23</f>
        <v>1428.2353155875601</v>
      </c>
      <c r="I471" s="12">
        <f t="shared" si="14"/>
        <v>137.22716171854404</v>
      </c>
      <c r="J471" s="13">
        <f t="shared" si="15"/>
        <v>0.10629457397870697</v>
      </c>
    </row>
    <row r="472" spans="1:10" x14ac:dyDescent="0.35">
      <c r="A472" s="3">
        <v>56973</v>
      </c>
      <c r="B472" s="3">
        <v>188677</v>
      </c>
      <c r="C472" s="18">
        <v>655</v>
      </c>
      <c r="D472" s="18">
        <v>655</v>
      </c>
      <c r="E472" s="19">
        <v>279.497031099742</v>
      </c>
      <c r="F472" s="19">
        <v>319.20358731801298</v>
      </c>
      <c r="G472" s="12">
        <f>E472/Combined_Summary!$B$23</f>
        <v>1117.988124398968</v>
      </c>
      <c r="H472" s="12">
        <f>F472/Combined_Summary!$B$23</f>
        <v>1276.8143492720519</v>
      </c>
      <c r="I472" s="12">
        <f t="shared" si="14"/>
        <v>158.8262248730839</v>
      </c>
      <c r="J472" s="13">
        <f t="shared" si="15"/>
        <v>0.14206432197879482</v>
      </c>
    </row>
    <row r="473" spans="1:10" x14ac:dyDescent="0.35">
      <c r="A473" s="3">
        <v>56991</v>
      </c>
      <c r="B473" s="3">
        <v>180952</v>
      </c>
      <c r="C473" s="18">
        <v>684</v>
      </c>
      <c r="D473" s="18">
        <v>684</v>
      </c>
      <c r="E473" s="19">
        <v>344.31135362770101</v>
      </c>
      <c r="F473" s="19">
        <v>370.85282468516903</v>
      </c>
      <c r="G473" s="12">
        <f>E473/Combined_Summary!$B$23</f>
        <v>1377.245414510804</v>
      </c>
      <c r="H473" s="12">
        <f>F473/Combined_Summary!$B$23</f>
        <v>1483.4112987406761</v>
      </c>
      <c r="I473" s="12">
        <f t="shared" si="14"/>
        <v>106.16588422987206</v>
      </c>
      <c r="J473" s="13">
        <f t="shared" si="15"/>
        <v>7.7085669054546863E-2</v>
      </c>
    </row>
    <row r="474" spans="1:10" x14ac:dyDescent="0.35">
      <c r="A474" s="3">
        <v>56992</v>
      </c>
      <c r="B474" s="3">
        <v>594070</v>
      </c>
      <c r="C474" s="18">
        <v>16</v>
      </c>
      <c r="D474" s="18">
        <v>16</v>
      </c>
      <c r="E474" s="19">
        <v>365.48924446106003</v>
      </c>
      <c r="F474" s="19">
        <v>394.21856689453102</v>
      </c>
      <c r="G474" s="12">
        <f>E474/Combined_Summary!$B$23</f>
        <v>1461.9569778442401</v>
      </c>
      <c r="H474" s="12">
        <f>F474/Combined_Summary!$B$23</f>
        <v>1576.8742675781241</v>
      </c>
      <c r="I474" s="12">
        <f t="shared" si="14"/>
        <v>114.91728973388399</v>
      </c>
      <c r="J474" s="13">
        <f t="shared" si="15"/>
        <v>7.8605110461826125E-2</v>
      </c>
    </row>
    <row r="475" spans="1:10" x14ac:dyDescent="0.35">
      <c r="A475" s="3">
        <v>56993</v>
      </c>
      <c r="B475" s="3">
        <v>180982</v>
      </c>
      <c r="C475" s="18">
        <v>575</v>
      </c>
      <c r="D475" s="18">
        <v>575</v>
      </c>
      <c r="E475" s="19">
        <v>348.06356003471001</v>
      </c>
      <c r="F475" s="19">
        <v>371.83875586468201</v>
      </c>
      <c r="G475" s="12">
        <f>E475/Combined_Summary!$B$23</f>
        <v>1392.25424013884</v>
      </c>
      <c r="H475" s="12">
        <f>F475/Combined_Summary!$B$23</f>
        <v>1487.3550234587281</v>
      </c>
      <c r="I475" s="12">
        <f t="shared" si="14"/>
        <v>95.100783319888023</v>
      </c>
      <c r="J475" s="13">
        <f t="shared" si="15"/>
        <v>6.8307052388940304E-2</v>
      </c>
    </row>
    <row r="476" spans="1:10" x14ac:dyDescent="0.35">
      <c r="A476" s="3">
        <v>56994</v>
      </c>
      <c r="B476" s="3">
        <v>61483</v>
      </c>
      <c r="C476" s="18">
        <v>1176</v>
      </c>
      <c r="D476" s="18">
        <v>1176</v>
      </c>
      <c r="E476" s="19">
        <v>310.03032561062099</v>
      </c>
      <c r="F476" s="19">
        <v>336.34140905393201</v>
      </c>
      <c r="G476" s="12">
        <f>E476/Combined_Summary!$B$23</f>
        <v>1240.121302442484</v>
      </c>
      <c r="H476" s="12">
        <f>F476/Combined_Summary!$B$23</f>
        <v>1345.365636215728</v>
      </c>
      <c r="I476" s="12">
        <f t="shared" si="14"/>
        <v>105.24433377324408</v>
      </c>
      <c r="J476" s="13">
        <f t="shared" si="15"/>
        <v>8.4866160726341719E-2</v>
      </c>
    </row>
    <row r="477" spans="1:10" x14ac:dyDescent="0.35">
      <c r="A477" s="3">
        <v>57005</v>
      </c>
      <c r="B477" s="3">
        <v>180969</v>
      </c>
      <c r="C477" s="18">
        <v>698</v>
      </c>
      <c r="D477" s="18">
        <v>698</v>
      </c>
      <c r="E477" s="19">
        <v>340.91199997298003</v>
      </c>
      <c r="F477" s="19">
        <v>363.68505516161599</v>
      </c>
      <c r="G477" s="12">
        <f>E477/Combined_Summary!$B$23</f>
        <v>1363.6479998919201</v>
      </c>
      <c r="H477" s="12">
        <f>F477/Combined_Summary!$B$23</f>
        <v>1454.740220646464</v>
      </c>
      <c r="I477" s="12">
        <f t="shared" si="14"/>
        <v>91.09222075454386</v>
      </c>
      <c r="J477" s="13">
        <f t="shared" si="15"/>
        <v>6.6800391861949443E-2</v>
      </c>
    </row>
    <row r="478" spans="1:10" x14ac:dyDescent="0.35">
      <c r="A478" s="3">
        <v>57022</v>
      </c>
      <c r="B478" s="3">
        <v>181006</v>
      </c>
      <c r="C478" s="18">
        <v>802</v>
      </c>
      <c r="D478" s="18">
        <v>802</v>
      </c>
      <c r="E478" s="19">
        <v>344.97052411010401</v>
      </c>
      <c r="F478" s="19">
        <v>364.26887945997998</v>
      </c>
      <c r="G478" s="12">
        <f>E478/Combined_Summary!$B$23</f>
        <v>1379.882096440416</v>
      </c>
      <c r="H478" s="12">
        <f>F478/Combined_Summary!$B$23</f>
        <v>1457.0755178399199</v>
      </c>
      <c r="I478" s="12">
        <f t="shared" si="14"/>
        <v>77.193421399503904</v>
      </c>
      <c r="J478" s="13">
        <f t="shared" si="15"/>
        <v>5.5942041424143628E-2</v>
      </c>
    </row>
    <row r="479" spans="1:10" x14ac:dyDescent="0.35">
      <c r="A479" s="3">
        <v>57023</v>
      </c>
      <c r="B479" s="3">
        <v>181005</v>
      </c>
      <c r="C479" s="18">
        <v>835</v>
      </c>
      <c r="D479" s="18">
        <v>835</v>
      </c>
      <c r="E479" s="19">
        <v>330.57922929775202</v>
      </c>
      <c r="F479" s="19">
        <v>355.94810403606903</v>
      </c>
      <c r="G479" s="12">
        <f>E479/Combined_Summary!$B$23</f>
        <v>1322.3169171910081</v>
      </c>
      <c r="H479" s="12">
        <f>F479/Combined_Summary!$B$23</f>
        <v>1423.7924161442761</v>
      </c>
      <c r="I479" s="12">
        <f t="shared" si="14"/>
        <v>101.47549895326802</v>
      </c>
      <c r="J479" s="13">
        <f t="shared" si="15"/>
        <v>7.6740679661598796E-2</v>
      </c>
    </row>
    <row r="480" spans="1:10" x14ac:dyDescent="0.35">
      <c r="A480" s="3">
        <v>57024</v>
      </c>
      <c r="B480" s="3">
        <v>181025</v>
      </c>
      <c r="C480" s="18">
        <v>476</v>
      </c>
      <c r="D480" s="18">
        <v>476</v>
      </c>
      <c r="E480" s="19">
        <v>264.38403017380699</v>
      </c>
      <c r="F480" s="19">
        <v>317.31111997716602</v>
      </c>
      <c r="G480" s="12">
        <f>E480/Combined_Summary!$B$23</f>
        <v>1057.536120695228</v>
      </c>
      <c r="H480" s="12">
        <f>F480/Combined_Summary!$B$23</f>
        <v>1269.2444799086641</v>
      </c>
      <c r="I480" s="12">
        <f t="shared" si="14"/>
        <v>211.7083592134361</v>
      </c>
      <c r="J480" s="13">
        <f t="shared" si="15"/>
        <v>0.20019019215557221</v>
      </c>
    </row>
    <row r="481" spans="1:10" x14ac:dyDescent="0.35">
      <c r="A481" s="3">
        <v>57025</v>
      </c>
      <c r="B481" s="3">
        <v>182391</v>
      </c>
      <c r="C481" s="18">
        <v>490</v>
      </c>
      <c r="D481" s="18">
        <v>490</v>
      </c>
      <c r="E481" s="19">
        <v>335.15939819958697</v>
      </c>
      <c r="F481" s="19">
        <v>364.00762571996597</v>
      </c>
      <c r="G481" s="12">
        <f>E481/Combined_Summary!$B$23</f>
        <v>1340.6375927983479</v>
      </c>
      <c r="H481" s="12">
        <f>F481/Combined_Summary!$B$23</f>
        <v>1456.0305028798639</v>
      </c>
      <c r="I481" s="12">
        <f t="shared" si="14"/>
        <v>115.39291008151599</v>
      </c>
      <c r="J481" s="13">
        <f t="shared" si="15"/>
        <v>8.6073157057048766E-2</v>
      </c>
    </row>
    <row r="482" spans="1:10" x14ac:dyDescent="0.35">
      <c r="A482" s="3">
        <v>57026</v>
      </c>
      <c r="B482" s="3">
        <v>182386</v>
      </c>
      <c r="C482" s="18">
        <v>427</v>
      </c>
      <c r="D482" s="18">
        <v>427</v>
      </c>
      <c r="E482" s="19">
        <v>335.84535692558899</v>
      </c>
      <c r="F482" s="19">
        <v>361.52329288098503</v>
      </c>
      <c r="G482" s="12">
        <f>E482/Combined_Summary!$B$23</f>
        <v>1343.3814277023559</v>
      </c>
      <c r="H482" s="12">
        <f>F482/Combined_Summary!$B$23</f>
        <v>1446.0931715239401</v>
      </c>
      <c r="I482" s="12">
        <f t="shared" si="14"/>
        <v>102.71174382158415</v>
      </c>
      <c r="J482" s="13">
        <f t="shared" si="15"/>
        <v>7.6457617846672585E-2</v>
      </c>
    </row>
    <row r="483" spans="1:10" x14ac:dyDescent="0.35">
      <c r="A483" s="3">
        <v>57027</v>
      </c>
      <c r="B483" s="3">
        <v>187780</v>
      </c>
      <c r="C483" s="18">
        <v>1421</v>
      </c>
      <c r="D483" s="18">
        <v>1421</v>
      </c>
      <c r="E483" s="19">
        <v>349.40824354307301</v>
      </c>
      <c r="F483" s="19">
        <v>380.866113672116</v>
      </c>
      <c r="G483" s="12">
        <f>E483/Combined_Summary!$B$23</f>
        <v>1397.6329741722921</v>
      </c>
      <c r="H483" s="12">
        <f>F483/Combined_Summary!$B$23</f>
        <v>1523.464454688464</v>
      </c>
      <c r="I483" s="12">
        <f t="shared" si="14"/>
        <v>125.83148051617195</v>
      </c>
      <c r="J483" s="13">
        <f t="shared" si="15"/>
        <v>9.0031848733886685E-2</v>
      </c>
    </row>
    <row r="484" spans="1:10" x14ac:dyDescent="0.35">
      <c r="A484" s="3">
        <v>57028</v>
      </c>
      <c r="B484" s="3">
        <v>16089</v>
      </c>
      <c r="C484" s="18">
        <v>44</v>
      </c>
      <c r="D484" s="18">
        <v>44</v>
      </c>
      <c r="E484" s="19">
        <v>283.51885032653797</v>
      </c>
      <c r="F484" s="19">
        <v>352.618389476429</v>
      </c>
      <c r="G484" s="12">
        <f>E484/Combined_Summary!$B$23</f>
        <v>1134.0754013061519</v>
      </c>
      <c r="H484" s="12">
        <f>F484/Combined_Summary!$B$23</f>
        <v>1410.473557905716</v>
      </c>
      <c r="I484" s="12">
        <f t="shared" si="14"/>
        <v>276.39815659956412</v>
      </c>
      <c r="J484" s="13">
        <f t="shared" si="15"/>
        <v>0.24372114612593421</v>
      </c>
    </row>
    <row r="485" spans="1:10" x14ac:dyDescent="0.35">
      <c r="A485" s="3">
        <v>57038</v>
      </c>
      <c r="B485" s="3">
        <v>181004</v>
      </c>
      <c r="C485" s="18">
        <v>634</v>
      </c>
      <c r="D485" s="18">
        <v>634</v>
      </c>
      <c r="E485" s="19">
        <v>305.44505086230902</v>
      </c>
      <c r="F485" s="19">
        <v>333.39121970769401</v>
      </c>
      <c r="G485" s="12">
        <f>E485/Combined_Summary!$B$23</f>
        <v>1221.7802034492361</v>
      </c>
      <c r="H485" s="12">
        <f>F485/Combined_Summary!$B$23</f>
        <v>1333.564878830776</v>
      </c>
      <c r="I485" s="12">
        <f t="shared" si="14"/>
        <v>111.78467538153996</v>
      </c>
      <c r="J485" s="13">
        <f t="shared" si="15"/>
        <v>9.1493277650069996E-2</v>
      </c>
    </row>
    <row r="486" spans="1:10" x14ac:dyDescent="0.35">
      <c r="A486" s="3">
        <v>57039</v>
      </c>
      <c r="B486" s="3">
        <v>181023</v>
      </c>
      <c r="C486" s="18">
        <v>698</v>
      </c>
      <c r="D486" s="18">
        <v>698</v>
      </c>
      <c r="E486" s="19">
        <v>319.615915019738</v>
      </c>
      <c r="F486" s="19">
        <v>356.72229751543199</v>
      </c>
      <c r="G486" s="12">
        <f>E486/Combined_Summary!$B$23</f>
        <v>1278.463660078952</v>
      </c>
      <c r="H486" s="12">
        <f>F486/Combined_Summary!$B$23</f>
        <v>1426.889190061728</v>
      </c>
      <c r="I486" s="12">
        <f t="shared" si="14"/>
        <v>148.42552998277597</v>
      </c>
      <c r="J486" s="13">
        <f t="shared" si="15"/>
        <v>0.11609679228083018</v>
      </c>
    </row>
    <row r="487" spans="1:10" x14ac:dyDescent="0.35">
      <c r="A487" s="3">
        <v>57040</v>
      </c>
      <c r="B487" s="3">
        <v>181029</v>
      </c>
      <c r="C487" s="18">
        <v>943</v>
      </c>
      <c r="D487" s="18">
        <v>943</v>
      </c>
      <c r="E487" s="19">
        <v>338.367061979065</v>
      </c>
      <c r="F487" s="19">
        <v>368.87784972044199</v>
      </c>
      <c r="G487" s="12">
        <f>E487/Combined_Summary!$B$23</f>
        <v>1353.46824791626</v>
      </c>
      <c r="H487" s="12">
        <f>F487/Combined_Summary!$B$23</f>
        <v>1475.5113988817679</v>
      </c>
      <c r="I487" s="12">
        <f t="shared" si="14"/>
        <v>122.04315096550795</v>
      </c>
      <c r="J487" s="13">
        <f t="shared" si="15"/>
        <v>9.0170679033956064E-2</v>
      </c>
    </row>
    <row r="488" spans="1:10" x14ac:dyDescent="0.35">
      <c r="A488" s="3">
        <v>57041</v>
      </c>
      <c r="B488" s="3">
        <v>182417</v>
      </c>
      <c r="C488" s="18">
        <v>556</v>
      </c>
      <c r="D488" s="18">
        <v>556</v>
      </c>
      <c r="E488" s="19">
        <v>312.41492190463902</v>
      </c>
      <c r="F488" s="19">
        <v>348.77460686937502</v>
      </c>
      <c r="G488" s="12">
        <f>E488/Combined_Summary!$B$23</f>
        <v>1249.6596876185561</v>
      </c>
      <c r="H488" s="12">
        <f>F488/Combined_Summary!$B$23</f>
        <v>1395.0984274775001</v>
      </c>
      <c r="I488" s="12">
        <f t="shared" si="14"/>
        <v>145.43873985894402</v>
      </c>
      <c r="J488" s="13">
        <f t="shared" si="15"/>
        <v>0.11638267705994648</v>
      </c>
    </row>
    <row r="489" spans="1:10" x14ac:dyDescent="0.35">
      <c r="A489" s="3">
        <v>57042</v>
      </c>
      <c r="B489" s="3">
        <v>187790</v>
      </c>
      <c r="C489" s="18">
        <v>570</v>
      </c>
      <c r="D489" s="18">
        <v>570</v>
      </c>
      <c r="E489" s="19">
        <v>350.13960654275502</v>
      </c>
      <c r="F489" s="19">
        <v>375.49019783421602</v>
      </c>
      <c r="G489" s="12">
        <f>E489/Combined_Summary!$B$23</f>
        <v>1400.5584261710201</v>
      </c>
      <c r="H489" s="12">
        <f>F489/Combined_Summary!$B$23</f>
        <v>1501.9607913368641</v>
      </c>
      <c r="I489" s="12">
        <f t="shared" si="14"/>
        <v>101.402365165844</v>
      </c>
      <c r="J489" s="13">
        <f t="shared" si="15"/>
        <v>7.2401381671072046E-2</v>
      </c>
    </row>
    <row r="490" spans="1:10" x14ac:dyDescent="0.35">
      <c r="A490" s="3">
        <v>57060</v>
      </c>
      <c r="B490" s="3">
        <v>181003</v>
      </c>
      <c r="C490" s="18">
        <v>907</v>
      </c>
      <c r="D490" s="18">
        <v>907</v>
      </c>
      <c r="E490" s="19">
        <v>349.20909793689702</v>
      </c>
      <c r="F490" s="19">
        <v>381.22295703488402</v>
      </c>
      <c r="G490" s="12">
        <f>E490/Combined_Summary!$B$23</f>
        <v>1396.8363917475881</v>
      </c>
      <c r="H490" s="12">
        <f>F490/Combined_Summary!$B$23</f>
        <v>1524.8918281395361</v>
      </c>
      <c r="I490" s="12">
        <f t="shared" si="14"/>
        <v>128.05543639194798</v>
      </c>
      <c r="J490" s="13">
        <f t="shared" si="15"/>
        <v>9.1675329443369716E-2</v>
      </c>
    </row>
    <row r="491" spans="1:10" x14ac:dyDescent="0.35">
      <c r="A491" s="3">
        <v>57061</v>
      </c>
      <c r="B491" s="3">
        <v>182476</v>
      </c>
      <c r="C491" s="18">
        <v>616</v>
      </c>
      <c r="D491" s="18">
        <v>616</v>
      </c>
      <c r="E491" s="19">
        <v>355.10723485575102</v>
      </c>
      <c r="F491" s="19">
        <v>378.670037504915</v>
      </c>
      <c r="G491" s="12">
        <f>E491/Combined_Summary!$B$23</f>
        <v>1420.4289394230041</v>
      </c>
      <c r="H491" s="12">
        <f>F491/Combined_Summary!$B$23</f>
        <v>1514.68015001966</v>
      </c>
      <c r="I491" s="12">
        <f t="shared" si="14"/>
        <v>94.251210596655937</v>
      </c>
      <c r="J491" s="13">
        <f t="shared" si="15"/>
        <v>6.6354048401000579E-2</v>
      </c>
    </row>
    <row r="492" spans="1:10" x14ac:dyDescent="0.35">
      <c r="A492" s="3">
        <v>57062</v>
      </c>
      <c r="B492" s="3">
        <v>182393</v>
      </c>
      <c r="C492" s="18">
        <v>994</v>
      </c>
      <c r="D492" s="18">
        <v>994</v>
      </c>
      <c r="E492" s="19">
        <v>333.24075650497201</v>
      </c>
      <c r="F492" s="19">
        <v>368.29686607345502</v>
      </c>
      <c r="G492" s="12">
        <f>E492/Combined_Summary!$B$23</f>
        <v>1332.963026019888</v>
      </c>
      <c r="H492" s="12">
        <f>F492/Combined_Summary!$B$23</f>
        <v>1473.1874642938201</v>
      </c>
      <c r="I492" s="12">
        <f t="shared" si="14"/>
        <v>140.22443827393204</v>
      </c>
      <c r="J492" s="13">
        <f t="shared" si="15"/>
        <v>0.10519754527072671</v>
      </c>
    </row>
    <row r="493" spans="1:10" x14ac:dyDescent="0.35">
      <c r="A493" s="3">
        <v>57063</v>
      </c>
      <c r="B493" s="3">
        <v>187757</v>
      </c>
      <c r="C493" s="18">
        <v>762</v>
      </c>
      <c r="D493" s="18">
        <v>762</v>
      </c>
      <c r="E493" s="19">
        <v>336.92183092572901</v>
      </c>
      <c r="F493" s="19">
        <v>363.84055748886999</v>
      </c>
      <c r="G493" s="12">
        <f>E493/Combined_Summary!$B$23</f>
        <v>1347.687323702916</v>
      </c>
      <c r="H493" s="12">
        <f>F493/Combined_Summary!$B$23</f>
        <v>1455.36222995548</v>
      </c>
      <c r="I493" s="12">
        <f t="shared" si="14"/>
        <v>107.67490625256391</v>
      </c>
      <c r="J493" s="13">
        <f t="shared" si="15"/>
        <v>7.989605924074103E-2</v>
      </c>
    </row>
    <row r="494" spans="1:10" x14ac:dyDescent="0.35">
      <c r="A494" s="3">
        <v>57075</v>
      </c>
      <c r="B494" s="3">
        <v>182394</v>
      </c>
      <c r="C494" s="18">
        <v>909</v>
      </c>
      <c r="D494" s="18">
        <v>909</v>
      </c>
      <c r="E494" s="19">
        <v>295.21311584741198</v>
      </c>
      <c r="F494" s="19">
        <v>330.26879472386298</v>
      </c>
      <c r="G494" s="12">
        <f>E494/Combined_Summary!$B$23</f>
        <v>1180.8524633896479</v>
      </c>
      <c r="H494" s="12">
        <f>F494/Combined_Summary!$B$23</f>
        <v>1321.0751788954519</v>
      </c>
      <c r="I494" s="12">
        <f t="shared" si="14"/>
        <v>140.22271550580399</v>
      </c>
      <c r="J494" s="13">
        <f t="shared" si="15"/>
        <v>0.11874702374189354</v>
      </c>
    </row>
    <row r="495" spans="1:10" x14ac:dyDescent="0.35">
      <c r="A495" s="3">
        <v>57076</v>
      </c>
      <c r="B495" s="3">
        <v>182413</v>
      </c>
      <c r="C495" s="18">
        <v>560</v>
      </c>
      <c r="D495" s="18">
        <v>560</v>
      </c>
      <c r="E495" s="19">
        <v>347.34904327392599</v>
      </c>
      <c r="F495" s="19">
        <v>373.64326705932598</v>
      </c>
      <c r="G495" s="12">
        <f>E495/Combined_Summary!$B$23</f>
        <v>1389.3961730957039</v>
      </c>
      <c r="H495" s="12">
        <f>F495/Combined_Summary!$B$23</f>
        <v>1494.5730682373039</v>
      </c>
      <c r="I495" s="12">
        <f t="shared" si="14"/>
        <v>105.17689514159997</v>
      </c>
      <c r="J495" s="13">
        <f t="shared" si="15"/>
        <v>7.5699715587423902E-2</v>
      </c>
    </row>
    <row r="496" spans="1:10" x14ac:dyDescent="0.35">
      <c r="A496" s="3">
        <v>57077</v>
      </c>
      <c r="B496" s="3">
        <v>187754</v>
      </c>
      <c r="C496" s="18">
        <v>432</v>
      </c>
      <c r="D496" s="18">
        <v>432</v>
      </c>
      <c r="E496" s="19">
        <v>348.53424307152102</v>
      </c>
      <c r="F496" s="19">
        <v>377.43170151887102</v>
      </c>
      <c r="G496" s="12">
        <f>E496/Combined_Summary!$B$23</f>
        <v>1394.1369722860841</v>
      </c>
      <c r="H496" s="12">
        <f>F496/Combined_Summary!$B$23</f>
        <v>1509.7268060754841</v>
      </c>
      <c r="I496" s="12">
        <f t="shared" si="14"/>
        <v>115.58983378940002</v>
      </c>
      <c r="J496" s="13">
        <f t="shared" si="15"/>
        <v>8.2911389689248119E-2</v>
      </c>
    </row>
    <row r="497" spans="1:10" x14ac:dyDescent="0.35">
      <c r="A497" s="3">
        <v>57078</v>
      </c>
      <c r="B497" s="3">
        <v>187755</v>
      </c>
      <c r="C497" s="18">
        <v>421</v>
      </c>
      <c r="D497" s="18">
        <v>421</v>
      </c>
      <c r="E497" s="19">
        <v>356.65865429223601</v>
      </c>
      <c r="F497" s="19">
        <v>385.414130204081</v>
      </c>
      <c r="G497" s="12">
        <f>E497/Combined_Summary!$B$23</f>
        <v>1426.634617168944</v>
      </c>
      <c r="H497" s="12">
        <f>F497/Combined_Summary!$B$23</f>
        <v>1541.656520816324</v>
      </c>
      <c r="I497" s="12">
        <f t="shared" si="14"/>
        <v>115.02190364737999</v>
      </c>
      <c r="J497" s="13">
        <f t="shared" si="15"/>
        <v>8.0624640859782909E-2</v>
      </c>
    </row>
    <row r="498" spans="1:10" x14ac:dyDescent="0.35">
      <c r="A498" s="3">
        <v>57079</v>
      </c>
      <c r="B498" s="3">
        <v>638464</v>
      </c>
      <c r="C498" s="18">
        <v>16</v>
      </c>
      <c r="D498" s="18">
        <v>16</v>
      </c>
      <c r="E498" s="19">
        <v>211.493308067322</v>
      </c>
      <c r="F498" s="19">
        <v>266.69561576843302</v>
      </c>
      <c r="G498" s="12">
        <f>E498/Combined_Summary!$B$23</f>
        <v>845.97323226928802</v>
      </c>
      <c r="H498" s="12">
        <f>F498/Combined_Summary!$B$23</f>
        <v>1066.7824630737321</v>
      </c>
      <c r="I498" s="12">
        <f t="shared" si="14"/>
        <v>220.80923080444404</v>
      </c>
      <c r="J498" s="13">
        <f t="shared" si="15"/>
        <v>0.26101207742960431</v>
      </c>
    </row>
    <row r="499" spans="1:10" x14ac:dyDescent="0.35">
      <c r="A499" s="3">
        <v>57096</v>
      </c>
      <c r="B499" s="3">
        <v>182396</v>
      </c>
      <c r="C499" s="18">
        <v>622</v>
      </c>
      <c r="D499" s="18">
        <v>622</v>
      </c>
      <c r="E499" s="19">
        <v>378.93438854401501</v>
      </c>
      <c r="F499" s="19">
        <v>405.28190090265298</v>
      </c>
      <c r="G499" s="12">
        <f>E499/Combined_Summary!$B$23</f>
        <v>1515.73755417606</v>
      </c>
      <c r="H499" s="12">
        <f>F499/Combined_Summary!$B$23</f>
        <v>1621.1276036106119</v>
      </c>
      <c r="I499" s="12">
        <f t="shared" si="14"/>
        <v>105.39004943455188</v>
      </c>
      <c r="J499" s="13">
        <f t="shared" si="15"/>
        <v>6.9530539204619018E-2</v>
      </c>
    </row>
    <row r="500" spans="1:10" x14ac:dyDescent="0.35">
      <c r="A500" s="3">
        <v>57097</v>
      </c>
      <c r="B500" s="3">
        <v>187751</v>
      </c>
      <c r="C500" s="18">
        <v>730</v>
      </c>
      <c r="D500" s="18">
        <v>730</v>
      </c>
      <c r="E500" s="19">
        <v>327.33186416103399</v>
      </c>
      <c r="F500" s="19">
        <v>368.996218568985</v>
      </c>
      <c r="G500" s="12">
        <f>E500/Combined_Summary!$B$23</f>
        <v>1309.327456644136</v>
      </c>
      <c r="H500" s="12">
        <f>F500/Combined_Summary!$B$23</f>
        <v>1475.98487427594</v>
      </c>
      <c r="I500" s="12">
        <f t="shared" si="14"/>
        <v>166.65741763180404</v>
      </c>
      <c r="J500" s="13">
        <f t="shared" si="15"/>
        <v>0.12728474972865408</v>
      </c>
    </row>
    <row r="501" spans="1:10" x14ac:dyDescent="0.35">
      <c r="A501" s="3">
        <v>57098</v>
      </c>
      <c r="B501" s="3">
        <v>187769</v>
      </c>
      <c r="C501" s="18">
        <v>726</v>
      </c>
      <c r="D501" s="18">
        <v>726</v>
      </c>
      <c r="E501" s="19">
        <v>333.64403919608799</v>
      </c>
      <c r="F501" s="19">
        <v>370.26923914717599</v>
      </c>
      <c r="G501" s="12">
        <f>E501/Combined_Summary!$B$23</f>
        <v>1334.576156784352</v>
      </c>
      <c r="H501" s="12">
        <f>F501/Combined_Summary!$B$23</f>
        <v>1481.076956588704</v>
      </c>
      <c r="I501" s="12">
        <f t="shared" si="14"/>
        <v>146.50079980435203</v>
      </c>
      <c r="J501" s="13">
        <f t="shared" si="15"/>
        <v>0.10977327824988591</v>
      </c>
    </row>
    <row r="502" spans="1:10" x14ac:dyDescent="0.35">
      <c r="A502" s="3">
        <v>57099</v>
      </c>
      <c r="B502" s="3">
        <v>187788</v>
      </c>
      <c r="C502" s="18">
        <v>624</v>
      </c>
      <c r="D502" s="18">
        <v>624</v>
      </c>
      <c r="E502" s="19">
        <v>338.45951892168102</v>
      </c>
      <c r="F502" s="19">
        <v>371.68774994825702</v>
      </c>
      <c r="G502" s="12">
        <f>E502/Combined_Summary!$B$23</f>
        <v>1353.8380756867241</v>
      </c>
      <c r="H502" s="12">
        <f>F502/Combined_Summary!$B$23</f>
        <v>1486.7509997930281</v>
      </c>
      <c r="I502" s="12">
        <f t="shared" si="14"/>
        <v>132.91292410630399</v>
      </c>
      <c r="J502" s="13">
        <f t="shared" si="15"/>
        <v>9.8174904734367824E-2</v>
      </c>
    </row>
    <row r="503" spans="1:10" x14ac:dyDescent="0.35">
      <c r="A503" s="3">
        <v>57118</v>
      </c>
      <c r="B503" s="3">
        <v>182398</v>
      </c>
      <c r="C503" s="18">
        <v>662</v>
      </c>
      <c r="D503" s="18">
        <v>662</v>
      </c>
      <c r="E503" s="19">
        <v>344.89422092264903</v>
      </c>
      <c r="F503" s="19">
        <v>375.623699660748</v>
      </c>
      <c r="G503" s="12">
        <f>E503/Combined_Summary!$B$23</f>
        <v>1379.5768836905961</v>
      </c>
      <c r="H503" s="12">
        <f>F503/Combined_Summary!$B$23</f>
        <v>1502.494798642992</v>
      </c>
      <c r="I503" s="12">
        <f t="shared" si="14"/>
        <v>122.9179149523959</v>
      </c>
      <c r="J503" s="13">
        <f t="shared" si="15"/>
        <v>8.9098270930410325E-2</v>
      </c>
    </row>
    <row r="504" spans="1:10" x14ac:dyDescent="0.35">
      <c r="A504" s="3">
        <v>57119</v>
      </c>
      <c r="B504" s="3">
        <v>462798</v>
      </c>
      <c r="C504" s="18">
        <v>343</v>
      </c>
      <c r="D504" s="18">
        <v>343</v>
      </c>
      <c r="E504" s="19">
        <v>350.492915306425</v>
      </c>
      <c r="F504" s="19">
        <v>385.55810057526099</v>
      </c>
      <c r="G504" s="12">
        <f>E504/Combined_Summary!$B$23</f>
        <v>1401.9716612257</v>
      </c>
      <c r="H504" s="12">
        <f>F504/Combined_Summary!$B$23</f>
        <v>1542.232402301044</v>
      </c>
      <c r="I504" s="12">
        <f t="shared" si="14"/>
        <v>140.26074107534396</v>
      </c>
      <c r="J504" s="13">
        <f t="shared" si="15"/>
        <v>0.10004534681729471</v>
      </c>
    </row>
    <row r="505" spans="1:10" x14ac:dyDescent="0.35">
      <c r="A505" s="3">
        <v>57120</v>
      </c>
      <c r="B505" s="3">
        <v>187750</v>
      </c>
      <c r="C505" s="18">
        <v>947</v>
      </c>
      <c r="D505" s="18">
        <v>947</v>
      </c>
      <c r="E505" s="19">
        <v>330.055853657385</v>
      </c>
      <c r="F505" s="19">
        <v>369.43063086214602</v>
      </c>
      <c r="G505" s="12">
        <f>E505/Combined_Summary!$B$23</f>
        <v>1320.22341462954</v>
      </c>
      <c r="H505" s="12">
        <f>F505/Combined_Summary!$B$23</f>
        <v>1477.7225234485841</v>
      </c>
      <c r="I505" s="12">
        <f t="shared" si="14"/>
        <v>157.49910881904407</v>
      </c>
      <c r="J505" s="13">
        <f t="shared" si="15"/>
        <v>0.11929731519209492</v>
      </c>
    </row>
    <row r="506" spans="1:10" x14ac:dyDescent="0.35">
      <c r="A506" s="3">
        <v>57146</v>
      </c>
      <c r="B506" s="3">
        <v>182401</v>
      </c>
      <c r="C506" s="18">
        <v>626</v>
      </c>
      <c r="D506" s="18">
        <v>626</v>
      </c>
      <c r="E506" s="19">
        <v>342.05296989294698</v>
      </c>
      <c r="F506" s="19">
        <v>379.16834190782998</v>
      </c>
      <c r="G506" s="12">
        <f>E506/Combined_Summary!$B$23</f>
        <v>1368.2118795717879</v>
      </c>
      <c r="H506" s="12">
        <f>F506/Combined_Summary!$B$23</f>
        <v>1516.6733676313199</v>
      </c>
      <c r="I506" s="12">
        <f t="shared" si="14"/>
        <v>148.46148805953203</v>
      </c>
      <c r="J506" s="13">
        <f t="shared" si="15"/>
        <v>0.10850767361119268</v>
      </c>
    </row>
    <row r="507" spans="1:10" x14ac:dyDescent="0.35">
      <c r="A507" s="3">
        <v>57147</v>
      </c>
      <c r="B507" s="3">
        <v>182407</v>
      </c>
      <c r="C507" s="18">
        <v>486</v>
      </c>
      <c r="D507" s="18">
        <v>486</v>
      </c>
      <c r="E507" s="19">
        <v>333.86186806164699</v>
      </c>
      <c r="F507" s="19">
        <v>369.36521847257899</v>
      </c>
      <c r="G507" s="12">
        <f>E507/Combined_Summary!$B$23</f>
        <v>1335.4474722465879</v>
      </c>
      <c r="H507" s="12">
        <f>F507/Combined_Summary!$B$23</f>
        <v>1477.460873890316</v>
      </c>
      <c r="I507" s="12">
        <f t="shared" si="14"/>
        <v>142.013401643728</v>
      </c>
      <c r="J507" s="13">
        <f t="shared" si="15"/>
        <v>0.10634143580714756</v>
      </c>
    </row>
    <row r="508" spans="1:10" x14ac:dyDescent="0.35">
      <c r="A508" s="3">
        <v>57164</v>
      </c>
      <c r="B508" s="3">
        <v>182503</v>
      </c>
      <c r="C508" s="18">
        <v>2</v>
      </c>
      <c r="D508" s="18">
        <v>2</v>
      </c>
      <c r="E508" s="19">
        <v>330.62896728515602</v>
      </c>
      <c r="F508" s="19">
        <v>364.86322021484398</v>
      </c>
      <c r="G508" s="12">
        <f>E508/Combined_Summary!$B$23</f>
        <v>1322.5158691406241</v>
      </c>
      <c r="H508" s="12">
        <f>F508/Combined_Summary!$B$23</f>
        <v>1459.4528808593759</v>
      </c>
      <c r="I508" s="12">
        <f t="shared" si="14"/>
        <v>136.93701171875182</v>
      </c>
      <c r="J508" s="13">
        <f t="shared" si="15"/>
        <v>0.10354281178322194</v>
      </c>
    </row>
    <row r="509" spans="1:10" x14ac:dyDescent="0.35">
      <c r="A509" s="3">
        <v>57165</v>
      </c>
      <c r="B509" s="3">
        <v>182489</v>
      </c>
      <c r="C509" s="18">
        <v>1.4696757027704701</v>
      </c>
      <c r="D509" s="18">
        <v>1.4696757027704701</v>
      </c>
      <c r="E509" s="19">
        <v>239.805103890564</v>
      </c>
      <c r="F509" s="19">
        <v>334.23646011117199</v>
      </c>
      <c r="G509" s="12">
        <f>E509/Combined_Summary!$B$23</f>
        <v>959.22041556225599</v>
      </c>
      <c r="H509" s="12">
        <f>F509/Combined_Summary!$B$23</f>
        <v>1336.945840444688</v>
      </c>
      <c r="I509" s="12">
        <f t="shared" si="14"/>
        <v>377.72542488243198</v>
      </c>
      <c r="J509" s="13">
        <f t="shared" si="15"/>
        <v>0.3937837630999802</v>
      </c>
    </row>
    <row r="510" spans="1:10" x14ac:dyDescent="0.35">
      <c r="A510" s="3">
        <v>57166</v>
      </c>
      <c r="B510" s="3">
        <v>594462</v>
      </c>
      <c r="C510" s="18">
        <v>16</v>
      </c>
      <c r="D510" s="18">
        <v>16</v>
      </c>
      <c r="E510" s="19">
        <v>309.45665121078503</v>
      </c>
      <c r="F510" s="19">
        <v>351.04957962036099</v>
      </c>
      <c r="G510" s="12">
        <f>E510/Combined_Summary!$B$23</f>
        <v>1237.8266048431401</v>
      </c>
      <c r="H510" s="12">
        <f>F510/Combined_Summary!$B$23</f>
        <v>1404.1983184814439</v>
      </c>
      <c r="I510" s="12">
        <f t="shared" si="14"/>
        <v>166.37171363830385</v>
      </c>
      <c r="J510" s="13">
        <f t="shared" si="15"/>
        <v>0.134406315866338</v>
      </c>
    </row>
    <row r="511" spans="1:10" x14ac:dyDescent="0.35">
      <c r="A511" s="3">
        <v>59675</v>
      </c>
      <c r="B511" s="3">
        <v>187598</v>
      </c>
      <c r="C511" s="18">
        <v>652</v>
      </c>
      <c r="D511" s="18">
        <v>652</v>
      </c>
      <c r="E511" s="19">
        <v>338.609848560731</v>
      </c>
      <c r="F511" s="19">
        <v>371.20739492170702</v>
      </c>
      <c r="G511" s="12">
        <f>E511/Combined_Summary!$B$23</f>
        <v>1354.439394242924</v>
      </c>
      <c r="H511" s="12">
        <f>F511/Combined_Summary!$B$23</f>
        <v>1484.8295796868281</v>
      </c>
      <c r="I511" s="12">
        <f t="shared" si="14"/>
        <v>130.3901854439041</v>
      </c>
      <c r="J511" s="13">
        <f t="shared" si="15"/>
        <v>9.6268748530300138E-2</v>
      </c>
    </row>
    <row r="512" spans="1:10" x14ac:dyDescent="0.35">
      <c r="A512" s="3">
        <v>59676</v>
      </c>
      <c r="B512" s="3">
        <v>187613</v>
      </c>
      <c r="C512" s="18">
        <v>682</v>
      </c>
      <c r="D512" s="18">
        <v>682</v>
      </c>
      <c r="E512" s="19">
        <v>351.85254225073697</v>
      </c>
      <c r="F512" s="19">
        <v>387.07885475941799</v>
      </c>
      <c r="G512" s="12">
        <f>E512/Combined_Summary!$B$23</f>
        <v>1407.4101690029479</v>
      </c>
      <c r="H512" s="12">
        <f>F512/Combined_Summary!$B$23</f>
        <v>1548.315419037672</v>
      </c>
      <c r="I512" s="12">
        <f t="shared" si="14"/>
        <v>140.90525003472408</v>
      </c>
      <c r="J512" s="13">
        <f t="shared" si="15"/>
        <v>0.10011669173496568</v>
      </c>
    </row>
    <row r="513" spans="1:10" x14ac:dyDescent="0.35">
      <c r="A513" s="3">
        <v>59693</v>
      </c>
      <c r="B513" s="3">
        <v>182269</v>
      </c>
      <c r="C513" s="18">
        <v>390</v>
      </c>
      <c r="D513" s="18">
        <v>390</v>
      </c>
      <c r="E513" s="19">
        <v>306.632648722331</v>
      </c>
      <c r="F513" s="19">
        <v>346.673915217473</v>
      </c>
      <c r="G513" s="12">
        <f>E513/Combined_Summary!$B$23</f>
        <v>1226.530594889324</v>
      </c>
      <c r="H513" s="12">
        <f>F513/Combined_Summary!$B$23</f>
        <v>1386.695660869892</v>
      </c>
      <c r="I513" s="12">
        <f t="shared" si="14"/>
        <v>160.16506598056799</v>
      </c>
      <c r="J513" s="13">
        <f t="shared" si="15"/>
        <v>0.13058383268052151</v>
      </c>
    </row>
    <row r="514" spans="1:10" x14ac:dyDescent="0.35">
      <c r="A514" s="3">
        <v>59694</v>
      </c>
      <c r="B514" s="3">
        <v>187529</v>
      </c>
      <c r="C514" s="18">
        <v>346</v>
      </c>
      <c r="D514" s="18">
        <v>346</v>
      </c>
      <c r="E514" s="19">
        <v>331.11875219841198</v>
      </c>
      <c r="F514" s="19">
        <v>364.76445163881198</v>
      </c>
      <c r="G514" s="12">
        <f>E514/Combined_Summary!$B$23</f>
        <v>1324.4750087936479</v>
      </c>
      <c r="H514" s="12">
        <f>F514/Combined_Summary!$B$23</f>
        <v>1459.0578065552479</v>
      </c>
      <c r="I514" s="12">
        <f t="shared" ref="I514:I577" si="16">H514-G514</f>
        <v>134.58279776159998</v>
      </c>
      <c r="J514" s="13">
        <f t="shared" ref="J514:J577" si="17">IF(G514=0,"",I514/G514)</f>
        <v>0.10161218359580831</v>
      </c>
    </row>
    <row r="515" spans="1:10" x14ac:dyDescent="0.35">
      <c r="A515" s="3">
        <v>59695</v>
      </c>
      <c r="B515" s="3">
        <v>808411</v>
      </c>
      <c r="C515" s="18">
        <v>273</v>
      </c>
      <c r="D515" s="18">
        <v>273</v>
      </c>
      <c r="E515" s="19">
        <v>342.701325916109</v>
      </c>
      <c r="F515" s="19">
        <v>377.28885698143802</v>
      </c>
      <c r="G515" s="12">
        <f>E515/Combined_Summary!$B$23</f>
        <v>1370.805303664436</v>
      </c>
      <c r="H515" s="12">
        <f>F515/Combined_Summary!$B$23</f>
        <v>1509.1554279257521</v>
      </c>
      <c r="I515" s="12">
        <f t="shared" si="16"/>
        <v>138.35012426131607</v>
      </c>
      <c r="J515" s="13">
        <f t="shared" si="17"/>
        <v>0.10092616645958298</v>
      </c>
    </row>
    <row r="516" spans="1:10" x14ac:dyDescent="0.35">
      <c r="A516" s="3">
        <v>59696</v>
      </c>
      <c r="B516" s="3">
        <v>187554</v>
      </c>
      <c r="C516" s="18">
        <v>769</v>
      </c>
      <c r="D516" s="18">
        <v>769</v>
      </c>
      <c r="E516" s="19">
        <v>323.15922456599998</v>
      </c>
      <c r="F516" s="19">
        <v>359.19818567640601</v>
      </c>
      <c r="G516" s="12">
        <f>E516/Combined_Summary!$B$23</f>
        <v>1292.6368982639999</v>
      </c>
      <c r="H516" s="12">
        <f>F516/Combined_Summary!$B$23</f>
        <v>1436.7927427056241</v>
      </c>
      <c r="I516" s="12">
        <f t="shared" si="16"/>
        <v>144.15584444162414</v>
      </c>
      <c r="J516" s="13">
        <f t="shared" si="17"/>
        <v>0.11152075624270372</v>
      </c>
    </row>
    <row r="517" spans="1:10" x14ac:dyDescent="0.35">
      <c r="A517" s="3">
        <v>59697</v>
      </c>
      <c r="B517" s="3">
        <v>187645</v>
      </c>
      <c r="C517" s="18">
        <v>809</v>
      </c>
      <c r="D517" s="18">
        <v>809</v>
      </c>
      <c r="E517" s="19">
        <v>328.74223893947197</v>
      </c>
      <c r="F517" s="19">
        <v>363.41987300538</v>
      </c>
      <c r="G517" s="12">
        <f>E517/Combined_Summary!$B$23</f>
        <v>1314.9689557578879</v>
      </c>
      <c r="H517" s="12">
        <f>F517/Combined_Summary!$B$23</f>
        <v>1453.67949202152</v>
      </c>
      <c r="I517" s="12">
        <f t="shared" si="16"/>
        <v>138.71053626363209</v>
      </c>
      <c r="J517" s="13">
        <f t="shared" si="17"/>
        <v>0.10548578782507127</v>
      </c>
    </row>
    <row r="518" spans="1:10" x14ac:dyDescent="0.35">
      <c r="A518" s="3">
        <v>59698</v>
      </c>
      <c r="B518" s="3">
        <v>187612</v>
      </c>
      <c r="C518" s="18">
        <v>636</v>
      </c>
      <c r="D518" s="18">
        <v>636</v>
      </c>
      <c r="E518" s="19">
        <v>353.76063049364399</v>
      </c>
      <c r="F518" s="19">
        <v>375.59188452906602</v>
      </c>
      <c r="G518" s="12">
        <f>E518/Combined_Summary!$B$23</f>
        <v>1415.0425219745759</v>
      </c>
      <c r="H518" s="12">
        <f>F518/Combined_Summary!$B$23</f>
        <v>1502.3675381162641</v>
      </c>
      <c r="I518" s="12">
        <f t="shared" si="16"/>
        <v>87.325016141688138</v>
      </c>
      <c r="J518" s="13">
        <f t="shared" si="17"/>
        <v>6.1711937829142569E-2</v>
      </c>
    </row>
    <row r="519" spans="1:10" x14ac:dyDescent="0.35">
      <c r="A519" s="3">
        <v>59705</v>
      </c>
      <c r="B519" s="3">
        <v>182282</v>
      </c>
      <c r="C519" s="18">
        <v>676</v>
      </c>
      <c r="D519" s="18">
        <v>676</v>
      </c>
      <c r="E519" s="19">
        <v>320.22523712406502</v>
      </c>
      <c r="F519" s="19">
        <v>355.55632696208198</v>
      </c>
      <c r="G519" s="12">
        <f>E519/Combined_Summary!$B$23</f>
        <v>1280.9009484962601</v>
      </c>
      <c r="H519" s="12">
        <f>F519/Combined_Summary!$B$23</f>
        <v>1422.2253078483279</v>
      </c>
      <c r="I519" s="12">
        <f t="shared" si="16"/>
        <v>141.32435935206786</v>
      </c>
      <c r="J519" s="13">
        <f t="shared" si="17"/>
        <v>0.11033199680114102</v>
      </c>
    </row>
    <row r="520" spans="1:10" x14ac:dyDescent="0.35">
      <c r="A520" s="3">
        <v>59706</v>
      </c>
      <c r="B520" s="3">
        <v>182292</v>
      </c>
      <c r="C520" s="18">
        <v>622</v>
      </c>
      <c r="D520" s="18">
        <v>622</v>
      </c>
      <c r="E520" s="19">
        <v>325.60001459152397</v>
      </c>
      <c r="F520" s="19">
        <v>354.37991070517398</v>
      </c>
      <c r="G520" s="12">
        <f>E520/Combined_Summary!$B$23</f>
        <v>1302.4000583660959</v>
      </c>
      <c r="H520" s="12">
        <f>F520/Combined_Summary!$B$23</f>
        <v>1417.5196428206959</v>
      </c>
      <c r="I520" s="12">
        <f t="shared" si="16"/>
        <v>115.11958445460004</v>
      </c>
      <c r="J520" s="13">
        <f t="shared" si="17"/>
        <v>8.8390340368243989E-2</v>
      </c>
    </row>
    <row r="521" spans="1:10" x14ac:dyDescent="0.35">
      <c r="A521" s="3">
        <v>59707</v>
      </c>
      <c r="B521" s="3">
        <v>187500</v>
      </c>
      <c r="C521" s="18">
        <v>721</v>
      </c>
      <c r="D521" s="18">
        <v>721</v>
      </c>
      <c r="E521" s="19">
        <v>360.942515903637</v>
      </c>
      <c r="F521" s="19">
        <v>384.97840261260899</v>
      </c>
      <c r="G521" s="12">
        <f>E521/Combined_Summary!$B$23</f>
        <v>1443.770063614548</v>
      </c>
      <c r="H521" s="12">
        <f>F521/Combined_Summary!$B$23</f>
        <v>1539.913610450436</v>
      </c>
      <c r="I521" s="12">
        <f t="shared" si="16"/>
        <v>96.143546835887946</v>
      </c>
      <c r="J521" s="13">
        <f t="shared" si="17"/>
        <v>6.6592007452480312E-2</v>
      </c>
    </row>
    <row r="522" spans="1:10" x14ac:dyDescent="0.35">
      <c r="A522" s="3">
        <v>59708</v>
      </c>
      <c r="B522" s="3">
        <v>182552</v>
      </c>
      <c r="C522" s="18">
        <v>391</v>
      </c>
      <c r="D522" s="18">
        <v>391</v>
      </c>
      <c r="E522" s="19">
        <v>337.463861958145</v>
      </c>
      <c r="F522" s="19">
        <v>370.316680088677</v>
      </c>
      <c r="G522" s="12">
        <f>E522/Combined_Summary!$B$23</f>
        <v>1349.85544783258</v>
      </c>
      <c r="H522" s="12">
        <f>F522/Combined_Summary!$B$23</f>
        <v>1481.266720354708</v>
      </c>
      <c r="I522" s="12">
        <f t="shared" si="16"/>
        <v>131.411272522128</v>
      </c>
      <c r="J522" s="13">
        <f t="shared" si="17"/>
        <v>9.7352107392781134E-2</v>
      </c>
    </row>
    <row r="523" spans="1:10" x14ac:dyDescent="0.35">
      <c r="A523" s="3">
        <v>59709</v>
      </c>
      <c r="B523" s="3">
        <v>187610</v>
      </c>
      <c r="C523" s="18">
        <v>708</v>
      </c>
      <c r="D523" s="18">
        <v>708</v>
      </c>
      <c r="E523" s="19">
        <v>331.76698306994302</v>
      </c>
      <c r="F523" s="19">
        <v>357.88642891921597</v>
      </c>
      <c r="G523" s="12">
        <f>E523/Combined_Summary!$B$23</f>
        <v>1327.0679322797721</v>
      </c>
      <c r="H523" s="12">
        <f>F523/Combined_Summary!$B$23</f>
        <v>1431.5457156768639</v>
      </c>
      <c r="I523" s="12">
        <f t="shared" si="16"/>
        <v>104.4777833970918</v>
      </c>
      <c r="J523" s="13">
        <f t="shared" si="17"/>
        <v>7.8728285761233974E-2</v>
      </c>
    </row>
    <row r="524" spans="1:10" x14ac:dyDescent="0.35">
      <c r="A524" s="3">
        <v>59720</v>
      </c>
      <c r="B524" s="3">
        <v>182276</v>
      </c>
      <c r="C524" s="18">
        <v>517</v>
      </c>
      <c r="D524" s="18">
        <v>517</v>
      </c>
      <c r="E524" s="19">
        <v>322.39307434554303</v>
      </c>
      <c r="F524" s="19">
        <v>356.63800816194703</v>
      </c>
      <c r="G524" s="12">
        <f>E524/Combined_Summary!$B$23</f>
        <v>1289.5722973821721</v>
      </c>
      <c r="H524" s="12">
        <f>F524/Combined_Summary!$B$23</f>
        <v>1426.5520326477881</v>
      </c>
      <c r="I524" s="12">
        <f t="shared" si="16"/>
        <v>136.979735265616</v>
      </c>
      <c r="J524" s="13">
        <f t="shared" si="17"/>
        <v>0.10622105914006097</v>
      </c>
    </row>
    <row r="525" spans="1:10" x14ac:dyDescent="0.35">
      <c r="A525" s="3">
        <v>59721</v>
      </c>
      <c r="B525" s="3">
        <v>187561</v>
      </c>
      <c r="C525" s="18">
        <v>487</v>
      </c>
      <c r="D525" s="18">
        <v>487</v>
      </c>
      <c r="E525" s="19">
        <v>376.75241439787999</v>
      </c>
      <c r="F525" s="19">
        <v>404.33361098898501</v>
      </c>
      <c r="G525" s="12">
        <f>E525/Combined_Summary!$B$23</f>
        <v>1507.00965759152</v>
      </c>
      <c r="H525" s="12">
        <f>F525/Combined_Summary!$B$23</f>
        <v>1617.3344439559401</v>
      </c>
      <c r="I525" s="12">
        <f t="shared" si="16"/>
        <v>110.32478636442011</v>
      </c>
      <c r="J525" s="13">
        <f t="shared" si="17"/>
        <v>7.3207750068927574E-2</v>
      </c>
    </row>
    <row r="526" spans="1:10" x14ac:dyDescent="0.35">
      <c r="A526" s="3">
        <v>59722</v>
      </c>
      <c r="B526" s="3">
        <v>187575</v>
      </c>
      <c r="C526" s="18">
        <v>576</v>
      </c>
      <c r="D526" s="18">
        <v>576</v>
      </c>
      <c r="E526" s="19">
        <v>337.363159093592</v>
      </c>
      <c r="F526" s="19">
        <v>369.23489832878101</v>
      </c>
      <c r="G526" s="12">
        <f>E526/Combined_Summary!$B$23</f>
        <v>1349.452636374368</v>
      </c>
      <c r="H526" s="12">
        <f>F526/Combined_Summary!$B$23</f>
        <v>1476.9395933151241</v>
      </c>
      <c r="I526" s="12">
        <f t="shared" si="16"/>
        <v>127.48695694075604</v>
      </c>
      <c r="J526" s="13">
        <f t="shared" si="17"/>
        <v>9.4473087461061769E-2</v>
      </c>
    </row>
    <row r="527" spans="1:10" x14ac:dyDescent="0.35">
      <c r="A527" s="3">
        <v>59723</v>
      </c>
      <c r="B527" s="3">
        <v>187606</v>
      </c>
      <c r="C527" s="18">
        <v>1.2644704484846401</v>
      </c>
      <c r="D527" s="18">
        <v>1.2644704484846401</v>
      </c>
      <c r="E527" s="19">
        <v>318.62120887717901</v>
      </c>
      <c r="F527" s="19">
        <v>360.14520528825199</v>
      </c>
      <c r="G527" s="12">
        <f>E527/Combined_Summary!$B$23</f>
        <v>1274.4848355087161</v>
      </c>
      <c r="H527" s="12">
        <f>F527/Combined_Summary!$B$23</f>
        <v>1440.5808211530079</v>
      </c>
      <c r="I527" s="12">
        <f t="shared" si="16"/>
        <v>166.09598564429189</v>
      </c>
      <c r="J527" s="13">
        <f t="shared" si="17"/>
        <v>0.13032401878520114</v>
      </c>
    </row>
    <row r="528" spans="1:10" x14ac:dyDescent="0.35">
      <c r="A528" s="3">
        <v>59739</v>
      </c>
      <c r="B528" s="3">
        <v>187567</v>
      </c>
      <c r="C528" s="18">
        <v>632</v>
      </c>
      <c r="D528" s="18">
        <v>632</v>
      </c>
      <c r="E528" s="19">
        <v>296.26589347742799</v>
      </c>
      <c r="F528" s="19">
        <v>333.84952606732298</v>
      </c>
      <c r="G528" s="12">
        <f>E528/Combined_Summary!$B$23</f>
        <v>1185.063573909712</v>
      </c>
      <c r="H528" s="12">
        <f>F528/Combined_Summary!$B$23</f>
        <v>1335.3981042692919</v>
      </c>
      <c r="I528" s="12">
        <f t="shared" si="16"/>
        <v>150.33453035957996</v>
      </c>
      <c r="J528" s="13">
        <f t="shared" si="17"/>
        <v>0.12685777680568022</v>
      </c>
    </row>
    <row r="529" spans="1:10" x14ac:dyDescent="0.35">
      <c r="A529" s="3">
        <v>59740</v>
      </c>
      <c r="B529" s="3">
        <v>187425</v>
      </c>
      <c r="C529" s="18">
        <v>516</v>
      </c>
      <c r="D529" s="18">
        <v>516</v>
      </c>
      <c r="E529" s="19">
        <v>319.79150813494499</v>
      </c>
      <c r="F529" s="19">
        <v>358.128925900127</v>
      </c>
      <c r="G529" s="12">
        <f>E529/Combined_Summary!$B$23</f>
        <v>1279.16603253978</v>
      </c>
      <c r="H529" s="12">
        <f>F529/Combined_Summary!$B$23</f>
        <v>1432.515703600508</v>
      </c>
      <c r="I529" s="12">
        <f t="shared" si="16"/>
        <v>153.34967106072804</v>
      </c>
      <c r="J529" s="13">
        <f t="shared" si="17"/>
        <v>0.11988253843502455</v>
      </c>
    </row>
    <row r="530" spans="1:10" x14ac:dyDescent="0.35">
      <c r="A530" s="3">
        <v>59741</v>
      </c>
      <c r="B530" s="3">
        <v>182447</v>
      </c>
      <c r="C530" s="18">
        <v>1005</v>
      </c>
      <c r="D530" s="18">
        <v>1005</v>
      </c>
      <c r="E530" s="19">
        <v>306.02373320546297</v>
      </c>
      <c r="F530" s="19">
        <v>342.66461420770901</v>
      </c>
      <c r="G530" s="12">
        <f>E530/Combined_Summary!$B$23</f>
        <v>1224.0949328218519</v>
      </c>
      <c r="H530" s="12">
        <f>F530/Combined_Summary!$B$23</f>
        <v>1370.658456830836</v>
      </c>
      <c r="I530" s="12">
        <f t="shared" si="16"/>
        <v>146.56352400898413</v>
      </c>
      <c r="J530" s="13">
        <f t="shared" si="17"/>
        <v>0.11973215481835034</v>
      </c>
    </row>
    <row r="531" spans="1:10" x14ac:dyDescent="0.35">
      <c r="A531" s="3">
        <v>59759</v>
      </c>
      <c r="B531" s="3">
        <v>638459</v>
      </c>
      <c r="C531" s="18">
        <v>16</v>
      </c>
      <c r="D531" s="18">
        <v>16</v>
      </c>
      <c r="E531" s="19">
        <v>312.09061241149902</v>
      </c>
      <c r="F531" s="19">
        <v>333.10707855224598</v>
      </c>
      <c r="G531" s="12">
        <f>E531/Combined_Summary!$B$23</f>
        <v>1248.3624496459961</v>
      </c>
      <c r="H531" s="12">
        <f>F531/Combined_Summary!$B$23</f>
        <v>1332.4283142089839</v>
      </c>
      <c r="I531" s="12">
        <f t="shared" si="16"/>
        <v>84.065864562987827</v>
      </c>
      <c r="J531" s="13">
        <f t="shared" si="17"/>
        <v>6.7340910956450811E-2</v>
      </c>
    </row>
    <row r="532" spans="1:10" x14ac:dyDescent="0.35">
      <c r="A532" s="3">
        <v>59776</v>
      </c>
      <c r="B532" s="3">
        <v>182298</v>
      </c>
      <c r="C532" s="18">
        <v>600</v>
      </c>
      <c r="D532" s="18">
        <v>600</v>
      </c>
      <c r="E532" s="19">
        <v>337.67261913299598</v>
      </c>
      <c r="F532" s="19">
        <v>364.365288492839</v>
      </c>
      <c r="G532" s="12">
        <f>E532/Combined_Summary!$B$23</f>
        <v>1350.6904765319839</v>
      </c>
      <c r="H532" s="12">
        <f>F532/Combined_Summary!$B$23</f>
        <v>1457.461153971356</v>
      </c>
      <c r="I532" s="12">
        <f t="shared" si="16"/>
        <v>106.77067743937209</v>
      </c>
      <c r="J532" s="13">
        <f t="shared" si="17"/>
        <v>7.9048959990830142E-2</v>
      </c>
    </row>
    <row r="533" spans="1:10" x14ac:dyDescent="0.35">
      <c r="A533" s="3">
        <v>59777</v>
      </c>
      <c r="B533" s="3">
        <v>182516</v>
      </c>
      <c r="C533" s="18">
        <v>470</v>
      </c>
      <c r="D533" s="18">
        <v>470</v>
      </c>
      <c r="E533" s="19">
        <v>323.03674213328298</v>
      </c>
      <c r="F533" s="19">
        <v>357.21343451966601</v>
      </c>
      <c r="G533" s="12">
        <f>E533/Combined_Summary!$B$23</f>
        <v>1292.1469685331319</v>
      </c>
      <c r="H533" s="12">
        <f>F533/Combined_Summary!$B$23</f>
        <v>1428.853738078664</v>
      </c>
      <c r="I533" s="12">
        <f t="shared" si="16"/>
        <v>136.7067695455321</v>
      </c>
      <c r="J533" s="13">
        <f t="shared" si="17"/>
        <v>0.10579815831687013</v>
      </c>
    </row>
    <row r="534" spans="1:10" x14ac:dyDescent="0.35">
      <c r="A534" s="3">
        <v>59778</v>
      </c>
      <c r="B534" s="3">
        <v>187431</v>
      </c>
      <c r="C534" s="18">
        <v>628</v>
      </c>
      <c r="D534" s="18">
        <v>628</v>
      </c>
      <c r="E534" s="19">
        <v>347.38769564051501</v>
      </c>
      <c r="F534" s="19">
        <v>375.61675018262002</v>
      </c>
      <c r="G534" s="12">
        <f>E534/Combined_Summary!$B$23</f>
        <v>1389.55078256206</v>
      </c>
      <c r="H534" s="12">
        <f>F534/Combined_Summary!$B$23</f>
        <v>1502.4670007304801</v>
      </c>
      <c r="I534" s="12">
        <f t="shared" si="16"/>
        <v>112.91621816842007</v>
      </c>
      <c r="J534" s="13">
        <f t="shared" si="17"/>
        <v>8.1260951082496341E-2</v>
      </c>
    </row>
    <row r="535" spans="1:10" x14ac:dyDescent="0.35">
      <c r="A535" s="3">
        <v>59779</v>
      </c>
      <c r="B535" s="3">
        <v>638461</v>
      </c>
      <c r="C535" s="18">
        <v>16</v>
      </c>
      <c r="D535" s="18">
        <v>16</v>
      </c>
      <c r="E535" s="19">
        <v>211.26612091064499</v>
      </c>
      <c r="F535" s="19">
        <v>275.019478797913</v>
      </c>
      <c r="G535" s="12">
        <f>E535/Combined_Summary!$B$23</f>
        <v>845.06448364257994</v>
      </c>
      <c r="H535" s="12">
        <f>F535/Combined_Summary!$B$23</f>
        <v>1100.077915191652</v>
      </c>
      <c r="I535" s="12">
        <f t="shared" si="16"/>
        <v>255.01343154907204</v>
      </c>
      <c r="J535" s="13">
        <f t="shared" si="17"/>
        <v>0.30176801473167814</v>
      </c>
    </row>
    <row r="536" spans="1:10" x14ac:dyDescent="0.35">
      <c r="A536" s="3">
        <v>59780</v>
      </c>
      <c r="B536" s="3">
        <v>187676</v>
      </c>
      <c r="C536" s="18">
        <v>323</v>
      </c>
      <c r="D536" s="18">
        <v>323</v>
      </c>
      <c r="E536" s="19">
        <v>269.74566567719199</v>
      </c>
      <c r="F536" s="19">
        <v>297.79629599272999</v>
      </c>
      <c r="G536" s="12">
        <f>E536/Combined_Summary!$B$23</f>
        <v>1078.982662708768</v>
      </c>
      <c r="H536" s="12">
        <f>F536/Combined_Summary!$B$23</f>
        <v>1191.18518397092</v>
      </c>
      <c r="I536" s="12">
        <f t="shared" si="16"/>
        <v>112.202521262152</v>
      </c>
      <c r="J536" s="13">
        <f t="shared" si="17"/>
        <v>0.10398917901096709</v>
      </c>
    </row>
    <row r="537" spans="1:10" x14ac:dyDescent="0.35">
      <c r="A537" s="3">
        <v>59803</v>
      </c>
      <c r="B537" s="3">
        <v>188662</v>
      </c>
      <c r="C537" s="18">
        <v>621</v>
      </c>
      <c r="D537" s="18">
        <v>621</v>
      </c>
      <c r="E537" s="19">
        <v>345.87257065826799</v>
      </c>
      <c r="F537" s="19">
        <v>369.14532212704302</v>
      </c>
      <c r="G537" s="12">
        <f>E537/Combined_Summary!$B$23</f>
        <v>1383.490282633072</v>
      </c>
      <c r="H537" s="12">
        <f>F537/Combined_Summary!$B$23</f>
        <v>1476.5812885081721</v>
      </c>
      <c r="I537" s="12">
        <f t="shared" si="16"/>
        <v>93.091005875100109</v>
      </c>
      <c r="J537" s="13">
        <f t="shared" si="17"/>
        <v>6.728706883139679E-2</v>
      </c>
    </row>
    <row r="538" spans="1:10" x14ac:dyDescent="0.35">
      <c r="A538" s="3">
        <v>59804</v>
      </c>
      <c r="B538" s="3">
        <v>188689</v>
      </c>
      <c r="C538" s="18">
        <v>848</v>
      </c>
      <c r="D538" s="18">
        <v>848</v>
      </c>
      <c r="E538" s="19">
        <v>350.131991467386</v>
      </c>
      <c r="F538" s="19">
        <v>384.13864680955999</v>
      </c>
      <c r="G538" s="12">
        <f>E538/Combined_Summary!$B$23</f>
        <v>1400.527965869544</v>
      </c>
      <c r="H538" s="12">
        <f>F538/Combined_Summary!$B$23</f>
        <v>1536.5545872382399</v>
      </c>
      <c r="I538" s="12">
        <f t="shared" si="16"/>
        <v>136.02662136869594</v>
      </c>
      <c r="J538" s="13">
        <f t="shared" si="17"/>
        <v>9.7125244681737763E-2</v>
      </c>
    </row>
    <row r="539" spans="1:10" x14ac:dyDescent="0.35">
      <c r="A539" s="3">
        <v>59805</v>
      </c>
      <c r="B539" s="3">
        <v>187706</v>
      </c>
      <c r="C539" s="18">
        <v>702</v>
      </c>
      <c r="D539" s="18">
        <v>702</v>
      </c>
      <c r="E539" s="19">
        <v>356.21031363941</v>
      </c>
      <c r="F539" s="19">
        <v>384.721663733154</v>
      </c>
      <c r="G539" s="12">
        <f>E539/Combined_Summary!$B$23</f>
        <v>1424.84125455764</v>
      </c>
      <c r="H539" s="12">
        <f>F539/Combined_Summary!$B$23</f>
        <v>1538.886654932616</v>
      </c>
      <c r="I539" s="12">
        <f t="shared" si="16"/>
        <v>114.045400374976</v>
      </c>
      <c r="J539" s="13">
        <f t="shared" si="17"/>
        <v>8.0040776479610595E-2</v>
      </c>
    </row>
    <row r="540" spans="1:10" x14ac:dyDescent="0.35">
      <c r="A540" s="3">
        <v>59823</v>
      </c>
      <c r="B540" s="3">
        <v>463003</v>
      </c>
      <c r="C540" s="18">
        <v>994</v>
      </c>
      <c r="D540" s="18">
        <v>994</v>
      </c>
      <c r="E540" s="19">
        <v>320.50787034217001</v>
      </c>
      <c r="F540" s="19">
        <v>353.39866526889602</v>
      </c>
      <c r="G540" s="12">
        <f>E540/Combined_Summary!$B$23</f>
        <v>1282.03148136868</v>
      </c>
      <c r="H540" s="12">
        <f>F540/Combined_Summary!$B$23</f>
        <v>1413.5946610755841</v>
      </c>
      <c r="I540" s="12">
        <f t="shared" si="16"/>
        <v>131.56317970690407</v>
      </c>
      <c r="J540" s="13">
        <f t="shared" si="17"/>
        <v>0.1026208651026642</v>
      </c>
    </row>
    <row r="541" spans="1:10" x14ac:dyDescent="0.35">
      <c r="A541" s="3">
        <v>59824</v>
      </c>
      <c r="B541" s="3">
        <v>635074</v>
      </c>
      <c r="C541" s="18">
        <v>16</v>
      </c>
      <c r="D541" s="18">
        <v>16</v>
      </c>
      <c r="E541" s="19">
        <v>369.49645805358898</v>
      </c>
      <c r="F541" s="19">
        <v>426.01947021484398</v>
      </c>
      <c r="G541" s="12">
        <f>E541/Combined_Summary!$B$23</f>
        <v>1477.9858322143559</v>
      </c>
      <c r="H541" s="12">
        <f>F541/Combined_Summary!$B$23</f>
        <v>1704.0778808593759</v>
      </c>
      <c r="I541" s="12">
        <f t="shared" si="16"/>
        <v>226.09204864501999</v>
      </c>
      <c r="J541" s="13">
        <f t="shared" si="17"/>
        <v>0.15297308249990674</v>
      </c>
    </row>
    <row r="542" spans="1:10" x14ac:dyDescent="0.35">
      <c r="A542" s="3">
        <v>59825</v>
      </c>
      <c r="B542" s="3">
        <v>188685</v>
      </c>
      <c r="C542" s="18">
        <v>715</v>
      </c>
      <c r="D542" s="18">
        <v>715</v>
      </c>
      <c r="E542" s="19">
        <v>332.65036673379097</v>
      </c>
      <c r="F542" s="19">
        <v>364.622321623689</v>
      </c>
      <c r="G542" s="12">
        <f>E542/Combined_Summary!$B$23</f>
        <v>1330.6014669351639</v>
      </c>
      <c r="H542" s="12">
        <f>F542/Combined_Summary!$B$23</f>
        <v>1458.489286494756</v>
      </c>
      <c r="I542" s="12">
        <f t="shared" si="16"/>
        <v>127.88781955959212</v>
      </c>
      <c r="J542" s="13">
        <f t="shared" si="17"/>
        <v>9.6112790146069854E-2</v>
      </c>
    </row>
    <row r="543" spans="1:10" x14ac:dyDescent="0.35">
      <c r="A543" s="3">
        <v>59826</v>
      </c>
      <c r="B543" s="3">
        <v>188687</v>
      </c>
      <c r="C543" s="18">
        <v>544</v>
      </c>
      <c r="D543" s="18">
        <v>544</v>
      </c>
      <c r="E543" s="19">
        <v>354.60833431692703</v>
      </c>
      <c r="F543" s="19">
        <v>387.10277675179901</v>
      </c>
      <c r="G543" s="12">
        <f>E543/Combined_Summary!$B$23</f>
        <v>1418.4333372677081</v>
      </c>
      <c r="H543" s="12">
        <f>F543/Combined_Summary!$B$23</f>
        <v>1548.4111070071961</v>
      </c>
      <c r="I543" s="12">
        <f t="shared" si="16"/>
        <v>129.97776973948794</v>
      </c>
      <c r="J543" s="13">
        <f t="shared" si="17"/>
        <v>9.1634739768497536E-2</v>
      </c>
    </row>
    <row r="544" spans="1:10" x14ac:dyDescent="0.35">
      <c r="A544" s="3">
        <v>59827</v>
      </c>
      <c r="B544" s="3">
        <v>187677</v>
      </c>
      <c r="C544" s="18">
        <v>364</v>
      </c>
      <c r="D544" s="18">
        <v>364</v>
      </c>
      <c r="E544" s="19">
        <v>384.278619577597</v>
      </c>
      <c r="F544" s="19">
        <v>419.16925665048501</v>
      </c>
      <c r="G544" s="12">
        <f>E544/Combined_Summary!$B$23</f>
        <v>1537.114478310388</v>
      </c>
      <c r="H544" s="12">
        <f>F544/Combined_Summary!$B$23</f>
        <v>1676.67702660194</v>
      </c>
      <c r="I544" s="12">
        <f t="shared" si="16"/>
        <v>139.56254829155205</v>
      </c>
      <c r="J544" s="13">
        <f t="shared" si="17"/>
        <v>9.0795155637959146E-2</v>
      </c>
    </row>
    <row r="545" spans="1:10" x14ac:dyDescent="0.35">
      <c r="A545" s="3">
        <v>59843</v>
      </c>
      <c r="B545" s="3">
        <v>635441</v>
      </c>
      <c r="C545" s="18">
        <v>16</v>
      </c>
      <c r="D545" s="18">
        <v>16</v>
      </c>
      <c r="E545" s="19">
        <v>364.33132696151699</v>
      </c>
      <c r="F545" s="19">
        <v>390.77873468399099</v>
      </c>
      <c r="G545" s="12">
        <f>E545/Combined_Summary!$B$23</f>
        <v>1457.325307846068</v>
      </c>
      <c r="H545" s="12">
        <f>F545/Combined_Summary!$B$23</f>
        <v>1563.114938735964</v>
      </c>
      <c r="I545" s="12">
        <f t="shared" si="16"/>
        <v>105.78963088989599</v>
      </c>
      <c r="J545" s="13">
        <f t="shared" si="17"/>
        <v>7.2591637790366412E-2</v>
      </c>
    </row>
    <row r="546" spans="1:10" x14ac:dyDescent="0.35">
      <c r="A546" s="3">
        <v>59844</v>
      </c>
      <c r="B546" s="3">
        <v>180961</v>
      </c>
      <c r="C546" s="18">
        <v>568</v>
      </c>
      <c r="D546" s="18">
        <v>568</v>
      </c>
      <c r="E546" s="19">
        <v>355.04122812647199</v>
      </c>
      <c r="F546" s="19">
        <v>376.59080606111303</v>
      </c>
      <c r="G546" s="12">
        <f>E546/Combined_Summary!$B$23</f>
        <v>1420.164912505888</v>
      </c>
      <c r="H546" s="12">
        <f>F546/Combined_Summary!$B$23</f>
        <v>1506.3632242444521</v>
      </c>
      <c r="I546" s="12">
        <f t="shared" si="16"/>
        <v>86.198311738564144</v>
      </c>
      <c r="J546" s="13">
        <f t="shared" si="17"/>
        <v>6.0695987472656816E-2</v>
      </c>
    </row>
    <row r="547" spans="1:10" x14ac:dyDescent="0.35">
      <c r="A547" s="3">
        <v>59845</v>
      </c>
      <c r="B547" s="3">
        <v>188674</v>
      </c>
      <c r="C547" s="18">
        <v>465</v>
      </c>
      <c r="D547" s="18">
        <v>465</v>
      </c>
      <c r="E547" s="19">
        <v>303.23195475916702</v>
      </c>
      <c r="F547" s="19">
        <v>342.24453891220901</v>
      </c>
      <c r="G547" s="12">
        <f>E547/Combined_Summary!$B$23</f>
        <v>1212.9278190366681</v>
      </c>
      <c r="H547" s="12">
        <f>F547/Combined_Summary!$B$23</f>
        <v>1368.978155648836</v>
      </c>
      <c r="I547" s="12">
        <f t="shared" si="16"/>
        <v>156.05033661216794</v>
      </c>
      <c r="J547" s="13">
        <f t="shared" si="17"/>
        <v>0.12865591353664085</v>
      </c>
    </row>
    <row r="548" spans="1:10" x14ac:dyDescent="0.35">
      <c r="A548" s="3">
        <v>59846</v>
      </c>
      <c r="B548" s="3">
        <v>638059</v>
      </c>
      <c r="C548" s="18">
        <v>16</v>
      </c>
      <c r="D548" s="18">
        <v>16</v>
      </c>
      <c r="E548" s="19">
        <v>338.25138759612997</v>
      </c>
      <c r="F548" s="19">
        <v>381.64740371704102</v>
      </c>
      <c r="G548" s="12">
        <f>E548/Combined_Summary!$B$23</f>
        <v>1353.0055503845199</v>
      </c>
      <c r="H548" s="12">
        <f>F548/Combined_Summary!$B$23</f>
        <v>1526.5896148681641</v>
      </c>
      <c r="I548" s="12">
        <f t="shared" si="16"/>
        <v>173.58406448364417</v>
      </c>
      <c r="J548" s="13">
        <f t="shared" si="17"/>
        <v>0.12829516067713997</v>
      </c>
    </row>
    <row r="549" spans="1:10" x14ac:dyDescent="0.35">
      <c r="A549" s="3">
        <v>59862</v>
      </c>
      <c r="B549" s="3">
        <v>180954</v>
      </c>
      <c r="C549" s="18">
        <v>757</v>
      </c>
      <c r="D549" s="18">
        <v>757</v>
      </c>
      <c r="E549" s="19">
        <v>334.32206738168401</v>
      </c>
      <c r="F549" s="19">
        <v>360.73173571325799</v>
      </c>
      <c r="G549" s="12">
        <f>E549/Combined_Summary!$B$23</f>
        <v>1337.288269526736</v>
      </c>
      <c r="H549" s="12">
        <f>F549/Combined_Summary!$B$23</f>
        <v>1442.926942853032</v>
      </c>
      <c r="I549" s="12">
        <f t="shared" si="16"/>
        <v>105.63867332629593</v>
      </c>
      <c r="J549" s="13">
        <f t="shared" si="17"/>
        <v>7.8994690773501866E-2</v>
      </c>
    </row>
    <row r="550" spans="1:10" x14ac:dyDescent="0.35">
      <c r="A550" s="3">
        <v>59863</v>
      </c>
      <c r="B550" s="3">
        <v>180975</v>
      </c>
      <c r="C550" s="18">
        <v>875</v>
      </c>
      <c r="D550" s="18">
        <v>875</v>
      </c>
      <c r="E550" s="19">
        <v>356.50323263985803</v>
      </c>
      <c r="F550" s="19">
        <v>382.19945635114402</v>
      </c>
      <c r="G550" s="12">
        <f>E550/Combined_Summary!$B$23</f>
        <v>1426.0129305594321</v>
      </c>
      <c r="H550" s="12">
        <f>F550/Combined_Summary!$B$23</f>
        <v>1528.7978254045761</v>
      </c>
      <c r="I550" s="12">
        <f t="shared" si="16"/>
        <v>102.78489484514398</v>
      </c>
      <c r="J550" s="13">
        <f t="shared" si="17"/>
        <v>7.207851530828753E-2</v>
      </c>
    </row>
    <row r="551" spans="1:10" x14ac:dyDescent="0.35">
      <c r="A551" s="3">
        <v>59864</v>
      </c>
      <c r="B551" s="3">
        <v>638062</v>
      </c>
      <c r="C551" s="18">
        <v>16</v>
      </c>
      <c r="D551" s="18">
        <v>16</v>
      </c>
      <c r="E551" s="19">
        <v>351.75537109375</v>
      </c>
      <c r="F551" s="19">
        <v>373.947187423706</v>
      </c>
      <c r="G551" s="12">
        <f>E551/Combined_Summary!$B$23</f>
        <v>1407.021484375</v>
      </c>
      <c r="H551" s="12">
        <f>F551/Combined_Summary!$B$23</f>
        <v>1495.788749694824</v>
      </c>
      <c r="I551" s="12">
        <f t="shared" si="16"/>
        <v>88.767265319823991</v>
      </c>
      <c r="J551" s="13">
        <f t="shared" si="17"/>
        <v>6.3088777467569718E-2</v>
      </c>
    </row>
    <row r="552" spans="1:10" x14ac:dyDescent="0.35">
      <c r="A552" s="3">
        <v>59865</v>
      </c>
      <c r="B552" s="3">
        <v>187684</v>
      </c>
      <c r="C552" s="18">
        <v>446</v>
      </c>
      <c r="D552" s="18">
        <v>446</v>
      </c>
      <c r="E552" s="19">
        <v>355.33810092943099</v>
      </c>
      <c r="F552" s="19">
        <v>381.64338304322899</v>
      </c>
      <c r="G552" s="12">
        <f>E552/Combined_Summary!$B$23</f>
        <v>1421.352403717724</v>
      </c>
      <c r="H552" s="12">
        <f>F552/Combined_Summary!$B$23</f>
        <v>1526.573532172916</v>
      </c>
      <c r="I552" s="12">
        <f t="shared" si="16"/>
        <v>105.221128455192</v>
      </c>
      <c r="J552" s="13">
        <f t="shared" si="17"/>
        <v>7.4028881352698361E-2</v>
      </c>
    </row>
    <row r="553" spans="1:10" x14ac:dyDescent="0.35">
      <c r="A553" s="3">
        <v>59866</v>
      </c>
      <c r="B553" s="3">
        <v>638058</v>
      </c>
      <c r="C553" s="18">
        <v>16</v>
      </c>
      <c r="D553" s="18">
        <v>16</v>
      </c>
      <c r="E553" s="19">
        <v>298.33382606506399</v>
      </c>
      <c r="F553" s="19">
        <v>323.512269973755</v>
      </c>
      <c r="G553" s="12">
        <f>E553/Combined_Summary!$B$23</f>
        <v>1193.335304260256</v>
      </c>
      <c r="H553" s="12">
        <f>F553/Combined_Summary!$B$23</f>
        <v>1294.04907989502</v>
      </c>
      <c r="I553" s="12">
        <f t="shared" si="16"/>
        <v>100.71377563476403</v>
      </c>
      <c r="J553" s="13">
        <f t="shared" si="17"/>
        <v>8.4396879297219923E-2</v>
      </c>
    </row>
    <row r="554" spans="1:10" x14ac:dyDescent="0.35">
      <c r="A554" s="3">
        <v>59883</v>
      </c>
      <c r="B554" s="3">
        <v>180980</v>
      </c>
      <c r="C554" s="18">
        <v>493</v>
      </c>
      <c r="D554" s="18">
        <v>493</v>
      </c>
      <c r="E554" s="19">
        <v>362.88771541510403</v>
      </c>
      <c r="F554" s="19">
        <v>393.51445555154999</v>
      </c>
      <c r="G554" s="12">
        <f>E554/Combined_Summary!$B$23</f>
        <v>1451.5508616604161</v>
      </c>
      <c r="H554" s="12">
        <f>F554/Combined_Summary!$B$23</f>
        <v>1574.0578222061999</v>
      </c>
      <c r="I554" s="12">
        <f t="shared" si="16"/>
        <v>122.50696054578384</v>
      </c>
      <c r="J554" s="13">
        <f t="shared" si="17"/>
        <v>8.4397291050242101E-2</v>
      </c>
    </row>
    <row r="555" spans="1:10" x14ac:dyDescent="0.35">
      <c r="A555" s="3">
        <v>59884</v>
      </c>
      <c r="B555" s="3">
        <v>187685</v>
      </c>
      <c r="C555" s="18">
        <v>780</v>
      </c>
      <c r="D555" s="18">
        <v>780</v>
      </c>
      <c r="E555" s="19">
        <v>335.80182360135598</v>
      </c>
      <c r="F555" s="19">
        <v>371.45510539519501</v>
      </c>
      <c r="G555" s="12">
        <f>E555/Combined_Summary!$B$23</f>
        <v>1343.2072944054239</v>
      </c>
      <c r="H555" s="12">
        <f>F555/Combined_Summary!$B$23</f>
        <v>1485.82042158078</v>
      </c>
      <c r="I555" s="12">
        <f t="shared" si="16"/>
        <v>142.61312717535611</v>
      </c>
      <c r="J555" s="13">
        <f t="shared" si="17"/>
        <v>0.1061735800344089</v>
      </c>
    </row>
    <row r="556" spans="1:10" x14ac:dyDescent="0.35">
      <c r="A556" s="3">
        <v>59900</v>
      </c>
      <c r="B556" s="3">
        <v>180984</v>
      </c>
      <c r="C556" s="18">
        <v>621</v>
      </c>
      <c r="D556" s="18">
        <v>621</v>
      </c>
      <c r="E556" s="19">
        <v>314.37577690210497</v>
      </c>
      <c r="F556" s="19">
        <v>340.84727250742702</v>
      </c>
      <c r="G556" s="12">
        <f>E556/Combined_Summary!$B$23</f>
        <v>1257.5031076084199</v>
      </c>
      <c r="H556" s="12">
        <f>F556/Combined_Summary!$B$23</f>
        <v>1363.3890900297081</v>
      </c>
      <c r="I556" s="12">
        <f t="shared" si="16"/>
        <v>105.88598242128819</v>
      </c>
      <c r="J556" s="13">
        <f t="shared" si="17"/>
        <v>8.4203356461414441E-2</v>
      </c>
    </row>
    <row r="557" spans="1:10" x14ac:dyDescent="0.35">
      <c r="A557" s="3">
        <v>59901</v>
      </c>
      <c r="B557" s="3">
        <v>180985</v>
      </c>
      <c r="C557" s="18">
        <v>1040</v>
      </c>
      <c r="D557" s="18">
        <v>1040</v>
      </c>
      <c r="E557" s="19">
        <v>354.05388584870599</v>
      </c>
      <c r="F557" s="19">
        <v>379.09968753227798</v>
      </c>
      <c r="G557" s="12">
        <f>E557/Combined_Summary!$B$23</f>
        <v>1416.215543394824</v>
      </c>
      <c r="H557" s="12">
        <f>F557/Combined_Summary!$B$23</f>
        <v>1516.3987501291119</v>
      </c>
      <c r="I557" s="12">
        <f t="shared" si="16"/>
        <v>100.18320673428798</v>
      </c>
      <c r="J557" s="13">
        <f t="shared" si="17"/>
        <v>7.0740084164122252E-2</v>
      </c>
    </row>
    <row r="558" spans="1:10" x14ac:dyDescent="0.35">
      <c r="A558" s="3">
        <v>59902</v>
      </c>
      <c r="B558" s="3">
        <v>635071</v>
      </c>
      <c r="C558" s="18">
        <v>16</v>
      </c>
      <c r="D558" s="18">
        <v>16</v>
      </c>
      <c r="E558" s="19">
        <v>327.28973388671898</v>
      </c>
      <c r="F558" s="19">
        <v>349.88054084777798</v>
      </c>
      <c r="G558" s="12">
        <f>E558/Combined_Summary!$B$23</f>
        <v>1309.1589355468759</v>
      </c>
      <c r="H558" s="12">
        <f>F558/Combined_Summary!$B$23</f>
        <v>1399.5221633911119</v>
      </c>
      <c r="I558" s="12">
        <f t="shared" si="16"/>
        <v>90.363227844236008</v>
      </c>
      <c r="J558" s="13">
        <f t="shared" si="17"/>
        <v>6.9023878912370953E-2</v>
      </c>
    </row>
    <row r="559" spans="1:10" x14ac:dyDescent="0.35">
      <c r="A559" s="3">
        <v>59916</v>
      </c>
      <c r="B559" s="3">
        <v>181020</v>
      </c>
      <c r="C559" s="18">
        <v>534</v>
      </c>
      <c r="D559" s="18">
        <v>534</v>
      </c>
      <c r="E559" s="19">
        <v>335.43477892072002</v>
      </c>
      <c r="F559" s="19">
        <v>356.702081515994</v>
      </c>
      <c r="G559" s="12">
        <f>E559/Combined_Summary!$B$23</f>
        <v>1341.7391156828801</v>
      </c>
      <c r="H559" s="12">
        <f>F559/Combined_Summary!$B$23</f>
        <v>1426.808326063976</v>
      </c>
      <c r="I559" s="12">
        <f t="shared" si="16"/>
        <v>85.0692103810959</v>
      </c>
      <c r="J559" s="13">
        <f t="shared" si="17"/>
        <v>6.3402198972040705E-2</v>
      </c>
    </row>
    <row r="560" spans="1:10" x14ac:dyDescent="0.35">
      <c r="A560" s="3">
        <v>59917</v>
      </c>
      <c r="B560" s="3">
        <v>181019</v>
      </c>
      <c r="C560" s="18">
        <v>444</v>
      </c>
      <c r="D560" s="18">
        <v>444</v>
      </c>
      <c r="E560" s="19">
        <v>350.95821000863799</v>
      </c>
      <c r="F560" s="19">
        <v>372.31374953673799</v>
      </c>
      <c r="G560" s="12">
        <f>E560/Combined_Summary!$B$23</f>
        <v>1403.832840034552</v>
      </c>
      <c r="H560" s="12">
        <f>F560/Combined_Summary!$B$23</f>
        <v>1489.2549981469519</v>
      </c>
      <c r="I560" s="12">
        <f t="shared" si="16"/>
        <v>85.422158112399984</v>
      </c>
      <c r="J560" s="13">
        <f t="shared" si="17"/>
        <v>6.0849237655886096E-2</v>
      </c>
    </row>
    <row r="561" spans="1:10" x14ac:dyDescent="0.35">
      <c r="A561" s="3">
        <v>59918</v>
      </c>
      <c r="B561" s="3">
        <v>181031</v>
      </c>
      <c r="C561" s="18">
        <v>470</v>
      </c>
      <c r="D561" s="18">
        <v>470</v>
      </c>
      <c r="E561" s="19">
        <v>320.04969638256301</v>
      </c>
      <c r="F561" s="19">
        <v>344.78793826813398</v>
      </c>
      <c r="G561" s="12">
        <f>E561/Combined_Summary!$B$23</f>
        <v>1280.1987855302521</v>
      </c>
      <c r="H561" s="12">
        <f>F561/Combined_Summary!$B$23</f>
        <v>1379.1517530725359</v>
      </c>
      <c r="I561" s="12">
        <f t="shared" si="16"/>
        <v>98.952967542283886</v>
      </c>
      <c r="J561" s="13">
        <f t="shared" si="17"/>
        <v>7.7295001886209455E-2</v>
      </c>
    </row>
    <row r="562" spans="1:10" x14ac:dyDescent="0.35">
      <c r="A562" s="3">
        <v>59919</v>
      </c>
      <c r="B562" s="3">
        <v>463430</v>
      </c>
      <c r="C562" s="18">
        <v>513</v>
      </c>
      <c r="D562" s="18">
        <v>513</v>
      </c>
      <c r="E562" s="19">
        <v>370.758202699658</v>
      </c>
      <c r="F562" s="19">
        <v>398.74796818664402</v>
      </c>
      <c r="G562" s="12">
        <f>E562/Combined_Summary!$B$23</f>
        <v>1483.032810798632</v>
      </c>
      <c r="H562" s="12">
        <f>F562/Combined_Summary!$B$23</f>
        <v>1594.9918727465761</v>
      </c>
      <c r="I562" s="12">
        <f t="shared" si="16"/>
        <v>111.95906194794406</v>
      </c>
      <c r="J562" s="13">
        <f t="shared" si="17"/>
        <v>7.549331419555895E-2</v>
      </c>
    </row>
    <row r="563" spans="1:10" x14ac:dyDescent="0.35">
      <c r="A563" s="3">
        <v>59920</v>
      </c>
      <c r="B563" s="3">
        <v>182390</v>
      </c>
      <c r="C563" s="18">
        <v>599</v>
      </c>
      <c r="D563" s="18">
        <v>599</v>
      </c>
      <c r="E563" s="19">
        <v>350.27530103374602</v>
      </c>
      <c r="F563" s="19">
        <v>368.00237193927501</v>
      </c>
      <c r="G563" s="12">
        <f>E563/Combined_Summary!$B$23</f>
        <v>1401.1012041349841</v>
      </c>
      <c r="H563" s="12">
        <f>F563/Combined_Summary!$B$23</f>
        <v>1472.0094877571</v>
      </c>
      <c r="I563" s="12">
        <f t="shared" si="16"/>
        <v>70.90828362211596</v>
      </c>
      <c r="J563" s="13">
        <f t="shared" si="17"/>
        <v>5.060896629939985E-2</v>
      </c>
    </row>
    <row r="564" spans="1:10" x14ac:dyDescent="0.35">
      <c r="A564" s="3">
        <v>59921</v>
      </c>
      <c r="B564" s="3">
        <v>187764</v>
      </c>
      <c r="C564" s="18">
        <v>506</v>
      </c>
      <c r="D564" s="18">
        <v>506</v>
      </c>
      <c r="E564" s="19">
        <v>321.019274459055</v>
      </c>
      <c r="F564" s="19">
        <v>356.93288070316902</v>
      </c>
      <c r="G564" s="12">
        <f>E564/Combined_Summary!$B$23</f>
        <v>1284.07709783622</v>
      </c>
      <c r="H564" s="12">
        <f>F564/Combined_Summary!$B$23</f>
        <v>1427.7315228126761</v>
      </c>
      <c r="I564" s="12">
        <f t="shared" si="16"/>
        <v>143.65442497645608</v>
      </c>
      <c r="J564" s="13">
        <f t="shared" si="17"/>
        <v>0.11187367582408106</v>
      </c>
    </row>
    <row r="565" spans="1:10" x14ac:dyDescent="0.35">
      <c r="A565" s="3">
        <v>59935</v>
      </c>
      <c r="B565" s="3">
        <v>182418</v>
      </c>
      <c r="C565" s="18">
        <v>653</v>
      </c>
      <c r="D565" s="18">
        <v>653</v>
      </c>
      <c r="E565" s="19">
        <v>268.25096169511198</v>
      </c>
      <c r="F565" s="19">
        <v>306.32933484905499</v>
      </c>
      <c r="G565" s="12">
        <f>E565/Combined_Summary!$B$23</f>
        <v>1073.0038467804479</v>
      </c>
      <c r="H565" s="12">
        <f>F565/Combined_Summary!$B$23</f>
        <v>1225.3173393962199</v>
      </c>
      <c r="I565" s="12">
        <f t="shared" si="16"/>
        <v>152.31349261577202</v>
      </c>
      <c r="J565" s="13">
        <f t="shared" si="17"/>
        <v>0.14195055597683945</v>
      </c>
    </row>
    <row r="566" spans="1:10" x14ac:dyDescent="0.35">
      <c r="A566" s="3">
        <v>59936</v>
      </c>
      <c r="B566" s="3">
        <v>594074</v>
      </c>
      <c r="C566" s="18">
        <v>16</v>
      </c>
      <c r="D566" s="18">
        <v>16</v>
      </c>
      <c r="E566" s="19">
        <v>322.39624500274698</v>
      </c>
      <c r="F566" s="19">
        <v>343.13115119934099</v>
      </c>
      <c r="G566" s="12">
        <f>E566/Combined_Summary!$B$23</f>
        <v>1289.5849800109879</v>
      </c>
      <c r="H566" s="12">
        <f>F566/Combined_Summary!$B$23</f>
        <v>1372.524604797364</v>
      </c>
      <c r="I566" s="12">
        <f t="shared" si="16"/>
        <v>82.939624786376044</v>
      </c>
      <c r="J566" s="13">
        <f t="shared" si="17"/>
        <v>6.4314974252933185E-2</v>
      </c>
    </row>
    <row r="567" spans="1:10" x14ac:dyDescent="0.35">
      <c r="A567" s="3">
        <v>59952</v>
      </c>
      <c r="B567" s="3">
        <v>187773</v>
      </c>
      <c r="C567" s="18">
        <v>586</v>
      </c>
      <c r="D567" s="18">
        <v>586</v>
      </c>
      <c r="E567" s="19">
        <v>352.389989130326</v>
      </c>
      <c r="F567" s="19">
        <v>381.457341815831</v>
      </c>
      <c r="G567" s="12">
        <f>E567/Combined_Summary!$B$23</f>
        <v>1409.559956521304</v>
      </c>
      <c r="H567" s="12">
        <f>F567/Combined_Summary!$B$23</f>
        <v>1525.829367263324</v>
      </c>
      <c r="I567" s="12">
        <f t="shared" si="16"/>
        <v>116.26941074202</v>
      </c>
      <c r="J567" s="13">
        <f t="shared" si="17"/>
        <v>8.2486317949159699E-2</v>
      </c>
    </row>
    <row r="568" spans="1:10" x14ac:dyDescent="0.35">
      <c r="A568" s="3">
        <v>59966</v>
      </c>
      <c r="B568" s="3">
        <v>181022</v>
      </c>
      <c r="C568" s="18">
        <v>625</v>
      </c>
      <c r="D568" s="18">
        <v>625</v>
      </c>
      <c r="E568" s="19">
        <v>350.18138791503901</v>
      </c>
      <c r="F568" s="19">
        <v>380.02490263671899</v>
      </c>
      <c r="G568" s="12">
        <f>E568/Combined_Summary!$B$23</f>
        <v>1400.725551660156</v>
      </c>
      <c r="H568" s="12">
        <f>F568/Combined_Summary!$B$23</f>
        <v>1520.099610546876</v>
      </c>
      <c r="I568" s="12">
        <f t="shared" si="16"/>
        <v>119.37405888671992</v>
      </c>
      <c r="J568" s="13">
        <f t="shared" si="17"/>
        <v>8.5223017988953237E-2</v>
      </c>
    </row>
    <row r="569" spans="1:10" x14ac:dyDescent="0.35">
      <c r="A569" s="3">
        <v>59967</v>
      </c>
      <c r="B569" s="3">
        <v>635452</v>
      </c>
      <c r="C569" s="18">
        <v>16</v>
      </c>
      <c r="D569" s="18">
        <v>16</v>
      </c>
      <c r="E569" s="19">
        <v>402.024082183838</v>
      </c>
      <c r="F569" s="19">
        <v>436.33535957336397</v>
      </c>
      <c r="G569" s="12">
        <f>E569/Combined_Summary!$B$23</f>
        <v>1608.096328735352</v>
      </c>
      <c r="H569" s="12">
        <f>F569/Combined_Summary!$B$23</f>
        <v>1745.3414382934559</v>
      </c>
      <c r="I569" s="12">
        <f t="shared" si="16"/>
        <v>137.24510955810388</v>
      </c>
      <c r="J569" s="13">
        <f t="shared" si="17"/>
        <v>8.5346323541473992E-2</v>
      </c>
    </row>
    <row r="570" spans="1:10" x14ac:dyDescent="0.35">
      <c r="A570" s="3">
        <v>59968</v>
      </c>
      <c r="B570" s="3">
        <v>187775</v>
      </c>
      <c r="C570" s="18">
        <v>446</v>
      </c>
      <c r="D570" s="18">
        <v>446</v>
      </c>
      <c r="E570" s="19">
        <v>334.20364971759602</v>
      </c>
      <c r="F570" s="19">
        <v>358.65707176790102</v>
      </c>
      <c r="G570" s="12">
        <f>E570/Combined_Summary!$B$23</f>
        <v>1336.8145988703841</v>
      </c>
      <c r="H570" s="12">
        <f>F570/Combined_Summary!$B$23</f>
        <v>1434.6282870716041</v>
      </c>
      <c r="I570" s="12">
        <f t="shared" si="16"/>
        <v>97.813688201219975</v>
      </c>
      <c r="J570" s="13">
        <f t="shared" si="17"/>
        <v>7.3169225024826257E-2</v>
      </c>
    </row>
    <row r="571" spans="1:10" x14ac:dyDescent="0.35">
      <c r="A571" s="3">
        <v>59980</v>
      </c>
      <c r="B571" s="3">
        <v>180989</v>
      </c>
      <c r="C571" s="18">
        <v>49</v>
      </c>
      <c r="D571" s="18">
        <v>49</v>
      </c>
      <c r="E571" s="19">
        <v>361.01321730321803</v>
      </c>
      <c r="F571" s="19">
        <v>415.86028118522802</v>
      </c>
      <c r="G571" s="12">
        <f>E571/Combined_Summary!$B$23</f>
        <v>1444.0528692128721</v>
      </c>
      <c r="H571" s="12">
        <f>F571/Combined_Summary!$B$23</f>
        <v>1663.4411247409121</v>
      </c>
      <c r="I571" s="12">
        <f t="shared" si="16"/>
        <v>219.38825552803996</v>
      </c>
      <c r="J571" s="13">
        <f t="shared" si="17"/>
        <v>0.15192536243331911</v>
      </c>
    </row>
    <row r="572" spans="1:10" x14ac:dyDescent="0.35">
      <c r="A572" s="3">
        <v>59981</v>
      </c>
      <c r="B572" s="3">
        <v>182483</v>
      </c>
      <c r="C572" s="18">
        <v>753</v>
      </c>
      <c r="D572" s="18">
        <v>753</v>
      </c>
      <c r="E572" s="19">
        <v>326.41888143025199</v>
      </c>
      <c r="F572" s="19">
        <v>359.92726256837898</v>
      </c>
      <c r="G572" s="12">
        <f>E572/Combined_Summary!$B$23</f>
        <v>1305.6755257210079</v>
      </c>
      <c r="H572" s="12">
        <f>F572/Combined_Summary!$B$23</f>
        <v>1439.7090502735159</v>
      </c>
      <c r="I572" s="12">
        <f t="shared" si="16"/>
        <v>134.03352455250797</v>
      </c>
      <c r="J572" s="13">
        <f t="shared" si="17"/>
        <v>0.10265454311743588</v>
      </c>
    </row>
    <row r="573" spans="1:10" x14ac:dyDescent="0.35">
      <c r="A573" s="3">
        <v>59982</v>
      </c>
      <c r="B573" s="3">
        <v>182481</v>
      </c>
      <c r="C573" s="18">
        <v>746</v>
      </c>
      <c r="D573" s="18">
        <v>746</v>
      </c>
      <c r="E573" s="19">
        <v>326.61872771725899</v>
      </c>
      <c r="F573" s="19">
        <v>359.62455855873299</v>
      </c>
      <c r="G573" s="12">
        <f>E573/Combined_Summary!$B$23</f>
        <v>1306.474910869036</v>
      </c>
      <c r="H573" s="12">
        <f>F573/Combined_Summary!$B$23</f>
        <v>1438.4982342349319</v>
      </c>
      <c r="I573" s="12">
        <f t="shared" si="16"/>
        <v>132.02332336589598</v>
      </c>
      <c r="J573" s="13">
        <f t="shared" si="17"/>
        <v>0.10105308740913915</v>
      </c>
    </row>
    <row r="574" spans="1:10" x14ac:dyDescent="0.35">
      <c r="A574" s="3">
        <v>59983</v>
      </c>
      <c r="B574" s="3">
        <v>182411</v>
      </c>
      <c r="C574" s="18">
        <v>528</v>
      </c>
      <c r="D574" s="18">
        <v>528</v>
      </c>
      <c r="E574" s="19">
        <v>347.35145703229</v>
      </c>
      <c r="F574" s="19">
        <v>378.04349887732297</v>
      </c>
      <c r="G574" s="12">
        <f>E574/Combined_Summary!$B$23</f>
        <v>1389.40582812916</v>
      </c>
      <c r="H574" s="12">
        <f>F574/Combined_Summary!$B$23</f>
        <v>1512.1739955092919</v>
      </c>
      <c r="I574" s="12">
        <f t="shared" si="16"/>
        <v>122.7681673801319</v>
      </c>
      <c r="J574" s="13">
        <f t="shared" si="17"/>
        <v>8.8360193180879107E-2</v>
      </c>
    </row>
    <row r="575" spans="1:10" x14ac:dyDescent="0.35">
      <c r="A575" s="3">
        <v>59984</v>
      </c>
      <c r="B575" s="3">
        <v>187762</v>
      </c>
      <c r="C575" s="18">
        <v>321</v>
      </c>
      <c r="D575" s="18">
        <v>321</v>
      </c>
      <c r="E575" s="19">
        <v>357.78505119727799</v>
      </c>
      <c r="F575" s="19">
        <v>387.85576632015398</v>
      </c>
      <c r="G575" s="12">
        <f>E575/Combined_Summary!$B$23</f>
        <v>1431.140204789112</v>
      </c>
      <c r="H575" s="12">
        <f>F575/Combined_Summary!$B$23</f>
        <v>1551.4230652806159</v>
      </c>
      <c r="I575" s="12">
        <f t="shared" si="16"/>
        <v>120.28286049150393</v>
      </c>
      <c r="J575" s="13">
        <f t="shared" si="17"/>
        <v>8.4046874016252243E-2</v>
      </c>
    </row>
    <row r="576" spans="1:10" x14ac:dyDescent="0.35">
      <c r="A576" s="3">
        <v>60001</v>
      </c>
      <c r="B576" s="3">
        <v>181009</v>
      </c>
      <c r="C576" s="18">
        <v>335</v>
      </c>
      <c r="D576" s="18">
        <v>335</v>
      </c>
      <c r="E576" s="19">
        <v>337.74744132881699</v>
      </c>
      <c r="F576" s="19">
        <v>373.31533749708501</v>
      </c>
      <c r="G576" s="12">
        <f>E576/Combined_Summary!$B$23</f>
        <v>1350.989765315268</v>
      </c>
      <c r="H576" s="12">
        <f>F576/Combined_Summary!$B$23</f>
        <v>1493.26134998834</v>
      </c>
      <c r="I576" s="12">
        <f t="shared" si="16"/>
        <v>142.27158467307208</v>
      </c>
      <c r="J576" s="13">
        <f t="shared" si="17"/>
        <v>0.10530915061364028</v>
      </c>
    </row>
    <row r="577" spans="1:10" x14ac:dyDescent="0.35">
      <c r="A577" s="3">
        <v>60002</v>
      </c>
      <c r="B577" s="3">
        <v>187771</v>
      </c>
      <c r="C577" s="18">
        <v>912</v>
      </c>
      <c r="D577" s="18">
        <v>912</v>
      </c>
      <c r="E577" s="19">
        <v>337.06572242787001</v>
      </c>
      <c r="F577" s="19">
        <v>369.97756446871801</v>
      </c>
      <c r="G577" s="12">
        <f>E577/Combined_Summary!$B$23</f>
        <v>1348.2628897114801</v>
      </c>
      <c r="H577" s="12">
        <f>F577/Combined_Summary!$B$23</f>
        <v>1479.9102578748721</v>
      </c>
      <c r="I577" s="12">
        <f t="shared" si="16"/>
        <v>131.647368163392</v>
      </c>
      <c r="J577" s="13">
        <f t="shared" si="17"/>
        <v>9.7642209963639759E-2</v>
      </c>
    </row>
    <row r="578" spans="1:10" x14ac:dyDescent="0.35">
      <c r="A578" s="3">
        <v>60003</v>
      </c>
      <c r="B578" s="3">
        <v>187782</v>
      </c>
      <c r="C578" s="18">
        <v>547</v>
      </c>
      <c r="D578" s="18">
        <v>547</v>
      </c>
      <c r="E578" s="19">
        <v>314.26343155604599</v>
      </c>
      <c r="F578" s="19">
        <v>350.43591011507601</v>
      </c>
      <c r="G578" s="12">
        <f>E578/Combined_Summary!$B$23</f>
        <v>1257.0537262241839</v>
      </c>
      <c r="H578" s="12">
        <f>F578/Combined_Summary!$B$23</f>
        <v>1401.7436404603041</v>
      </c>
      <c r="I578" s="12">
        <f t="shared" ref="I578:I641" si="18">H578-G578</f>
        <v>144.6899142361201</v>
      </c>
      <c r="J578" s="13">
        <f t="shared" ref="J578:J641" si="19">IF(G578=0,"",I578/G578)</f>
        <v>0.11510241067478129</v>
      </c>
    </row>
    <row r="579" spans="1:10" x14ac:dyDescent="0.35">
      <c r="A579" s="3">
        <v>60004</v>
      </c>
      <c r="B579" s="3">
        <v>566736</v>
      </c>
      <c r="C579" s="18">
        <v>16</v>
      </c>
      <c r="D579" s="18">
        <v>16</v>
      </c>
      <c r="E579" s="19">
        <v>328.25075912475597</v>
      </c>
      <c r="F579" s="19">
        <v>350.69111824035599</v>
      </c>
      <c r="G579" s="12">
        <f>E579/Combined_Summary!$B$23</f>
        <v>1313.0030364990239</v>
      </c>
      <c r="H579" s="12">
        <f>F579/Combined_Summary!$B$23</f>
        <v>1402.764472961424</v>
      </c>
      <c r="I579" s="12">
        <f t="shared" si="18"/>
        <v>89.76143646240007</v>
      </c>
      <c r="J579" s="13">
        <f t="shared" si="19"/>
        <v>6.8363464491094345E-2</v>
      </c>
    </row>
    <row r="580" spans="1:10" x14ac:dyDescent="0.35">
      <c r="A580" s="3">
        <v>60022</v>
      </c>
      <c r="B580" s="3">
        <v>193892</v>
      </c>
      <c r="C580" s="18">
        <v>932</v>
      </c>
      <c r="D580" s="18">
        <v>932</v>
      </c>
      <c r="E580" s="19">
        <v>320.77062687853402</v>
      </c>
      <c r="F580" s="19">
        <v>340.57353163788798</v>
      </c>
      <c r="G580" s="12">
        <f>E580/Combined_Summary!$B$23</f>
        <v>1283.0825075141361</v>
      </c>
      <c r="H580" s="12">
        <f>F580/Combined_Summary!$B$23</f>
        <v>1362.2941265515519</v>
      </c>
      <c r="I580" s="12">
        <f t="shared" si="18"/>
        <v>79.211619037415858</v>
      </c>
      <c r="J580" s="13">
        <f t="shared" si="19"/>
        <v>6.1735405613846044E-2</v>
      </c>
    </row>
    <row r="581" spans="1:10" x14ac:dyDescent="0.35">
      <c r="A581" s="3">
        <v>60023</v>
      </c>
      <c r="B581" s="3">
        <v>589922</v>
      </c>
      <c r="C581" s="18">
        <v>16</v>
      </c>
      <c r="D581" s="18">
        <v>16</v>
      </c>
      <c r="E581" s="19">
        <v>332.759481430054</v>
      </c>
      <c r="F581" s="19">
        <v>360.94299507141102</v>
      </c>
      <c r="G581" s="12">
        <f>E581/Combined_Summary!$B$23</f>
        <v>1331.037925720216</v>
      </c>
      <c r="H581" s="12">
        <f>F581/Combined_Summary!$B$23</f>
        <v>1443.7719802856441</v>
      </c>
      <c r="I581" s="12">
        <f t="shared" si="18"/>
        <v>112.7340545654281</v>
      </c>
      <c r="J581" s="13">
        <f t="shared" si="19"/>
        <v>8.4696350409721372E-2</v>
      </c>
    </row>
    <row r="582" spans="1:10" x14ac:dyDescent="0.35">
      <c r="A582" s="3">
        <v>60054</v>
      </c>
      <c r="B582" s="3">
        <v>187834</v>
      </c>
      <c r="C582" s="18">
        <v>58</v>
      </c>
      <c r="D582" s="18">
        <v>58</v>
      </c>
      <c r="E582" s="19">
        <v>322.40637680579903</v>
      </c>
      <c r="F582" s="19">
        <v>355.42861307078402</v>
      </c>
      <c r="G582" s="12">
        <f>E582/Combined_Summary!$B$23</f>
        <v>1289.6255072231961</v>
      </c>
      <c r="H582" s="12">
        <f>F582/Combined_Summary!$B$23</f>
        <v>1421.7144522831361</v>
      </c>
      <c r="I582" s="12">
        <f t="shared" si="18"/>
        <v>132.08894505993999</v>
      </c>
      <c r="J582" s="13">
        <f t="shared" si="19"/>
        <v>0.10242426527709744</v>
      </c>
    </row>
  </sheetData>
  <autoFilter ref="A1:J58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zoomScaleNormal="100" workbookViewId="0"/>
  </sheetViews>
  <sheetFormatPr defaultColWidth="8.6328125" defaultRowHeight="14.5" x14ac:dyDescent="0.35"/>
  <cols>
    <col min="1" max="1" width="40" customWidth="1"/>
    <col min="2" max="2" width="14" customWidth="1"/>
    <col min="3" max="3" width="56" customWidth="1"/>
  </cols>
  <sheetData>
    <row r="1" spans="1:3" ht="16.5" x14ac:dyDescent="0.35">
      <c r="A1" s="1" t="s">
        <v>47</v>
      </c>
    </row>
    <row r="2" spans="1:3" x14ac:dyDescent="0.35">
      <c r="A2" s="2" t="s">
        <v>1</v>
      </c>
      <c r="B2" s="2" t="s">
        <v>26</v>
      </c>
      <c r="C2" s="2" t="s">
        <v>27</v>
      </c>
    </row>
    <row r="3" spans="1:3" x14ac:dyDescent="0.35">
      <c r="A3" s="3" t="s">
        <v>4</v>
      </c>
      <c r="B3" s="11">
        <f>COUNT(East_Roofs!$I$2:$I$280)</f>
        <v>279</v>
      </c>
      <c r="C3" s="3" t="s">
        <v>28</v>
      </c>
    </row>
    <row r="4" spans="1:3" x14ac:dyDescent="0.35">
      <c r="A4" s="3" t="s">
        <v>5</v>
      </c>
      <c r="B4" s="12">
        <f>AVERAGE(East_Roofs!$G$2:$G$280)</f>
        <v>1253.2923560015317</v>
      </c>
      <c r="C4" s="3" t="s">
        <v>29</v>
      </c>
    </row>
    <row r="5" spans="1:3" x14ac:dyDescent="0.35">
      <c r="A5" s="3" t="s">
        <v>6</v>
      </c>
      <c r="B5" s="12">
        <f>AVERAGE(East_Roofs!$H$2:$H$280)</f>
        <v>1376.7013867593805</v>
      </c>
      <c r="C5" s="3"/>
    </row>
    <row r="6" spans="1:3" x14ac:dyDescent="0.35">
      <c r="A6" s="3" t="s">
        <v>7</v>
      </c>
      <c r="B6" s="12">
        <f>AVERAGE(East_Roofs!$I$2:$I$280)</f>
        <v>123.40903075784802</v>
      </c>
      <c r="C6" s="3" t="s">
        <v>30</v>
      </c>
    </row>
    <row r="7" spans="1:3" x14ac:dyDescent="0.35">
      <c r="A7" s="3" t="s">
        <v>8</v>
      </c>
      <c r="B7" s="12">
        <f>SUMPRODUCT(ABS(East_Roofs!$I$2:$I$280))/B3</f>
        <v>123.40903075784802</v>
      </c>
      <c r="C7" s="3" t="s">
        <v>31</v>
      </c>
    </row>
    <row r="8" spans="1:3" x14ac:dyDescent="0.35">
      <c r="A8" s="3" t="s">
        <v>9</v>
      </c>
      <c r="B8" s="12">
        <f>SQRT(SUMSQ(East_Roofs!$I$2:$I$280)/B3)</f>
        <v>129.30167441175792</v>
      </c>
      <c r="C8" s="3"/>
    </row>
    <row r="9" spans="1:3" x14ac:dyDescent="0.35">
      <c r="A9" s="3" t="s">
        <v>10</v>
      </c>
      <c r="B9" s="13">
        <f>B6/B4</f>
        <v>9.846787157592557E-2</v>
      </c>
      <c r="C9" s="3"/>
    </row>
    <row r="10" spans="1:3" x14ac:dyDescent="0.35">
      <c r="A10" s="3" t="s">
        <v>11</v>
      </c>
      <c r="B10" s="13">
        <f>B8/B4</f>
        <v>0.1031696026809565</v>
      </c>
      <c r="C10" s="3"/>
    </row>
    <row r="11" spans="1:3" x14ac:dyDescent="0.35">
      <c r="A11" s="3" t="s">
        <v>12</v>
      </c>
      <c r="B11" s="13">
        <f>MEDIAN(East_Roofs!$J$2:$J$280)</f>
        <v>8.7419461613596205E-2</v>
      </c>
      <c r="C11" s="3"/>
    </row>
    <row r="12" spans="1:3" x14ac:dyDescent="0.35">
      <c r="A12" s="3" t="s">
        <v>13</v>
      </c>
      <c r="B12" s="14">
        <f>CORREL(East_Roofs!$G$2:$G$280,East_Roofs!$H$2:$H$280)</f>
        <v>0.98109564082275103</v>
      </c>
      <c r="C12" s="3"/>
    </row>
    <row r="13" spans="1:3" x14ac:dyDescent="0.35">
      <c r="A13" s="3" t="s">
        <v>14</v>
      </c>
      <c r="B13" s="14">
        <f>RSQ(East_Roofs!$H$2:$H$280,East_Roofs!$G$2:$G$280)</f>
        <v>0.9625486564414043</v>
      </c>
      <c r="C13" s="3"/>
    </row>
    <row r="14" spans="1:3" x14ac:dyDescent="0.35">
      <c r="A14" s="3" t="s">
        <v>15</v>
      </c>
      <c r="B14" s="14">
        <f>SLOPE(East_Roofs!$H$2:$H$280,East_Roofs!$G$2:$G$280)</f>
        <v>0.83473589385229563</v>
      </c>
      <c r="C14" s="3" t="s">
        <v>32</v>
      </c>
    </row>
    <row r="15" spans="1:3" x14ac:dyDescent="0.35">
      <c r="A15" s="3" t="s">
        <v>16</v>
      </c>
      <c r="B15" s="12">
        <f>INTERCEPT(East_Roofs!$H$2:$H$280,East_Roofs!$G$2:$G$280)</f>
        <v>330.53327171419232</v>
      </c>
      <c r="C15" s="3" t="s">
        <v>33</v>
      </c>
    </row>
    <row r="16" spans="1:3" x14ac:dyDescent="0.35">
      <c r="A16" s="3" t="s">
        <v>17</v>
      </c>
      <c r="B16" s="11">
        <f>COUNTIF(East_Roofs!$I$2:$I$280,"&gt;0")</f>
        <v>279</v>
      </c>
      <c r="C16" s="3"/>
    </row>
    <row r="17" spans="1:3" x14ac:dyDescent="0.35">
      <c r="A17" s="3" t="s">
        <v>18</v>
      </c>
      <c r="B17" s="15">
        <v>0.94259999999999999</v>
      </c>
      <c r="C17" s="3" t="s">
        <v>34</v>
      </c>
    </row>
    <row r="18" spans="1:3" x14ac:dyDescent="0.35">
      <c r="A18" s="3" t="s">
        <v>19</v>
      </c>
      <c r="B18" s="16">
        <v>1.65892547313296E-47</v>
      </c>
      <c r="C18" s="3" t="s">
        <v>35</v>
      </c>
    </row>
    <row r="20" spans="1:3" x14ac:dyDescent="0.35">
      <c r="A20" s="9" t="s">
        <v>48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80"/>
  <sheetViews>
    <sheetView zoomScaleNormal="100" workbookViewId="0">
      <pane ySplit="1" topLeftCell="A2" activePane="bottomLeft" state="frozen"/>
      <selection pane="bottomLeft"/>
    </sheetView>
  </sheetViews>
  <sheetFormatPr defaultColWidth="8.6328125" defaultRowHeight="14.5" x14ac:dyDescent="0.35"/>
  <cols>
    <col min="1" max="1" width="10" customWidth="1"/>
    <col min="2" max="2" width="11" customWidth="1"/>
    <col min="3" max="4" width="13" customWidth="1"/>
    <col min="5" max="8" width="14" customWidth="1"/>
    <col min="9" max="9" width="18" customWidth="1"/>
    <col min="10" max="10" width="14" customWidth="1"/>
  </cols>
  <sheetData>
    <row r="1" spans="1:10" ht="57.75" customHeight="1" x14ac:dyDescent="0.35">
      <c r="A1" s="17" t="s">
        <v>37</v>
      </c>
      <c r="B1" s="17" t="s">
        <v>38</v>
      </c>
      <c r="C1" s="17" t="s">
        <v>39</v>
      </c>
      <c r="D1" s="17" t="s">
        <v>40</v>
      </c>
      <c r="E1" s="17" t="s">
        <v>41</v>
      </c>
      <c r="F1" s="17" t="s">
        <v>42</v>
      </c>
      <c r="G1" s="17" t="s">
        <v>43</v>
      </c>
      <c r="H1" s="17" t="s">
        <v>44</v>
      </c>
      <c r="I1" s="17" t="s">
        <v>45</v>
      </c>
      <c r="J1" s="17" t="s">
        <v>46</v>
      </c>
    </row>
    <row r="2" spans="1:10" x14ac:dyDescent="0.35">
      <c r="A2" s="3">
        <v>2516</v>
      </c>
      <c r="B2" s="3">
        <v>451111</v>
      </c>
      <c r="C2" s="18">
        <v>351</v>
      </c>
      <c r="D2" s="18">
        <v>351</v>
      </c>
      <c r="E2" s="19">
        <v>319.28307859850099</v>
      </c>
      <c r="F2" s="19">
        <v>356.92947726779499</v>
      </c>
      <c r="G2" s="12">
        <f>E2/Combined_Summary!$B$23</f>
        <v>1277.132314394004</v>
      </c>
      <c r="H2" s="12">
        <f>F2/Combined_Summary!$B$23</f>
        <v>1427.71790907118</v>
      </c>
      <c r="I2" s="12">
        <f t="shared" ref="I2:I65" si="0">H2-G2</f>
        <v>150.585594677176</v>
      </c>
      <c r="J2" s="13">
        <f t="shared" ref="J2:J65" si="1">IF(G2=0,"",I2/G2)</f>
        <v>0.11790915708575464</v>
      </c>
    </row>
    <row r="3" spans="1:10" x14ac:dyDescent="0.35">
      <c r="A3" s="3">
        <v>2517</v>
      </c>
      <c r="B3" s="3">
        <v>224024</v>
      </c>
      <c r="C3" s="18">
        <v>1175</v>
      </c>
      <c r="D3" s="18">
        <v>1175</v>
      </c>
      <c r="E3" s="19">
        <v>326.66231122929997</v>
      </c>
      <c r="F3" s="19">
        <v>351.58877042729802</v>
      </c>
      <c r="G3" s="12">
        <f>E3/Combined_Summary!$B$23</f>
        <v>1306.6492449171999</v>
      </c>
      <c r="H3" s="12">
        <f>F3/Combined_Summary!$B$23</f>
        <v>1406.3550817091921</v>
      </c>
      <c r="I3" s="12">
        <f t="shared" si="0"/>
        <v>99.705836791992169</v>
      </c>
      <c r="J3" s="13">
        <f t="shared" si="1"/>
        <v>7.6306504733265543E-2</v>
      </c>
    </row>
    <row r="4" spans="1:10" x14ac:dyDescent="0.35">
      <c r="A4" s="3">
        <v>2528</v>
      </c>
      <c r="B4" s="3">
        <v>223998</v>
      </c>
      <c r="C4" s="18">
        <v>975</v>
      </c>
      <c r="D4" s="18">
        <v>975</v>
      </c>
      <c r="E4" s="19">
        <v>341.347208752754</v>
      </c>
      <c r="F4" s="19">
        <v>363.80417303623301</v>
      </c>
      <c r="G4" s="12">
        <f>E4/Combined_Summary!$B$23</f>
        <v>1365.388835011016</v>
      </c>
      <c r="H4" s="12">
        <f>F4/Combined_Summary!$B$23</f>
        <v>1455.216692144932</v>
      </c>
      <c r="I4" s="12">
        <f t="shared" si="0"/>
        <v>89.827857133916041</v>
      </c>
      <c r="J4" s="13">
        <f t="shared" si="1"/>
        <v>6.5789213175447794E-2</v>
      </c>
    </row>
    <row r="5" spans="1:10" x14ac:dyDescent="0.35">
      <c r="A5" s="3">
        <v>2538</v>
      </c>
      <c r="B5" s="3">
        <v>232132</v>
      </c>
      <c r="C5" s="18">
        <v>673</v>
      </c>
      <c r="D5" s="18">
        <v>673</v>
      </c>
      <c r="E5" s="19">
        <v>339.73305619737198</v>
      </c>
      <c r="F5" s="19">
        <v>366.26594752046702</v>
      </c>
      <c r="G5" s="12">
        <f>E5/Combined_Summary!$B$23</f>
        <v>1358.9322247894879</v>
      </c>
      <c r="H5" s="12">
        <f>F5/Combined_Summary!$B$23</f>
        <v>1465.0637900818681</v>
      </c>
      <c r="I5" s="12">
        <f t="shared" si="0"/>
        <v>106.13156529238017</v>
      </c>
      <c r="J5" s="13">
        <f t="shared" si="1"/>
        <v>7.8099233616173172E-2</v>
      </c>
    </row>
    <row r="6" spans="1:10" x14ac:dyDescent="0.35">
      <c r="A6" s="3">
        <v>2539</v>
      </c>
      <c r="B6" s="3">
        <v>224031</v>
      </c>
      <c r="C6" s="18">
        <v>936</v>
      </c>
      <c r="D6" s="18">
        <v>936</v>
      </c>
      <c r="E6" s="19">
        <v>327.76433904761899</v>
      </c>
      <c r="F6" s="19">
        <v>354.02790464906599</v>
      </c>
      <c r="G6" s="12">
        <f>E6/Combined_Summary!$B$23</f>
        <v>1311.057356190476</v>
      </c>
      <c r="H6" s="12">
        <f>F6/Combined_Summary!$B$23</f>
        <v>1416.111618596264</v>
      </c>
      <c r="I6" s="12">
        <f t="shared" si="0"/>
        <v>105.05426240578799</v>
      </c>
      <c r="J6" s="13">
        <f t="shared" si="1"/>
        <v>8.0129417610716083E-2</v>
      </c>
    </row>
    <row r="7" spans="1:10" x14ac:dyDescent="0.35">
      <c r="A7" s="3">
        <v>2540</v>
      </c>
      <c r="B7" s="3">
        <v>224021</v>
      </c>
      <c r="C7" s="18">
        <v>505</v>
      </c>
      <c r="D7" s="18">
        <v>505</v>
      </c>
      <c r="E7" s="19">
        <v>316.775179857311</v>
      </c>
      <c r="F7" s="19">
        <v>339.68938643956</v>
      </c>
      <c r="G7" s="12">
        <f>E7/Combined_Summary!$B$23</f>
        <v>1267.100719429244</v>
      </c>
      <c r="H7" s="12">
        <f>F7/Combined_Summary!$B$23</f>
        <v>1358.75754575824</v>
      </c>
      <c r="I7" s="12">
        <f t="shared" si="0"/>
        <v>91.656826328995976</v>
      </c>
      <c r="J7" s="13">
        <f t="shared" si="1"/>
        <v>7.2335864800299465E-2</v>
      </c>
    </row>
    <row r="8" spans="1:10" x14ac:dyDescent="0.35">
      <c r="A8" s="3">
        <v>2541</v>
      </c>
      <c r="B8" s="3">
        <v>223887</v>
      </c>
      <c r="C8" s="18">
        <v>564</v>
      </c>
      <c r="D8" s="18">
        <v>564</v>
      </c>
      <c r="E8" s="19">
        <v>344.55571514156702</v>
      </c>
      <c r="F8" s="19">
        <v>362.74187090718198</v>
      </c>
      <c r="G8" s="12">
        <f>E8/Combined_Summary!$B$23</f>
        <v>1378.2228605662681</v>
      </c>
      <c r="H8" s="12">
        <f>F8/Combined_Summary!$B$23</f>
        <v>1450.9674836287279</v>
      </c>
      <c r="I8" s="12">
        <f t="shared" si="0"/>
        <v>72.744623062459823</v>
      </c>
      <c r="J8" s="13">
        <f t="shared" si="1"/>
        <v>5.2781466005121527E-2</v>
      </c>
    </row>
    <row r="9" spans="1:10" x14ac:dyDescent="0.35">
      <c r="A9" s="3">
        <v>2559</v>
      </c>
      <c r="B9" s="3">
        <v>649555</v>
      </c>
      <c r="C9" s="18">
        <v>16</v>
      </c>
      <c r="D9" s="18">
        <v>16</v>
      </c>
      <c r="E9" s="19">
        <v>307.64310073852499</v>
      </c>
      <c r="F9" s="19">
        <v>333.53583335876499</v>
      </c>
      <c r="G9" s="12">
        <f>E9/Combined_Summary!$B$23</f>
        <v>1230.5724029541</v>
      </c>
      <c r="H9" s="12">
        <f>F9/Combined_Summary!$B$23</f>
        <v>1334.14333343506</v>
      </c>
      <c r="I9" s="12">
        <f t="shared" si="0"/>
        <v>103.57093048095999</v>
      </c>
      <c r="J9" s="13">
        <f t="shared" si="1"/>
        <v>8.41648408759441E-2</v>
      </c>
    </row>
    <row r="10" spans="1:10" x14ac:dyDescent="0.35">
      <c r="A10" s="3">
        <v>2565</v>
      </c>
      <c r="B10" s="3">
        <v>646343</v>
      </c>
      <c r="C10" s="18">
        <v>16</v>
      </c>
      <c r="D10" s="18">
        <v>16</v>
      </c>
      <c r="E10" s="19">
        <v>338.38810729980497</v>
      </c>
      <c r="F10" s="19">
        <v>351.072807312012</v>
      </c>
      <c r="G10" s="12">
        <f>E10/Combined_Summary!$B$23</f>
        <v>1353.5524291992199</v>
      </c>
      <c r="H10" s="12">
        <f>F10/Combined_Summary!$B$23</f>
        <v>1404.291229248048</v>
      </c>
      <c r="I10" s="12">
        <f t="shared" si="0"/>
        <v>50.738800048828125</v>
      </c>
      <c r="J10" s="13">
        <f t="shared" si="1"/>
        <v>3.7485655490157768E-2</v>
      </c>
    </row>
    <row r="11" spans="1:10" x14ac:dyDescent="0.35">
      <c r="A11" s="3">
        <v>2566</v>
      </c>
      <c r="B11" s="3">
        <v>649646</v>
      </c>
      <c r="C11" s="18">
        <v>16</v>
      </c>
      <c r="D11" s="18">
        <v>16</v>
      </c>
      <c r="E11" s="19">
        <v>288.02490425109897</v>
      </c>
      <c r="F11" s="19">
        <v>318.46381187438999</v>
      </c>
      <c r="G11" s="12">
        <f>E11/Combined_Summary!$B$23</f>
        <v>1152.0996170043959</v>
      </c>
      <c r="H11" s="12">
        <f>F11/Combined_Summary!$B$23</f>
        <v>1273.85524749756</v>
      </c>
      <c r="I11" s="12">
        <f t="shared" si="0"/>
        <v>121.75563049316406</v>
      </c>
      <c r="J11" s="13">
        <f t="shared" si="1"/>
        <v>0.10568151286235476</v>
      </c>
    </row>
    <row r="12" spans="1:10" x14ac:dyDescent="0.35">
      <c r="A12" s="3">
        <v>2567</v>
      </c>
      <c r="B12" s="3">
        <v>224082</v>
      </c>
      <c r="C12" s="18">
        <v>529</v>
      </c>
      <c r="D12" s="18">
        <v>529</v>
      </c>
      <c r="E12" s="19">
        <v>341.419207033904</v>
      </c>
      <c r="F12" s="19">
        <v>373.96011891932898</v>
      </c>
      <c r="G12" s="12">
        <f>E12/Combined_Summary!$B$23</f>
        <v>1365.676828135616</v>
      </c>
      <c r="H12" s="12">
        <f>F12/Combined_Summary!$B$23</f>
        <v>1495.8404756773159</v>
      </c>
      <c r="I12" s="12">
        <f t="shared" si="0"/>
        <v>130.1636475416999</v>
      </c>
      <c r="J12" s="13">
        <f t="shared" si="1"/>
        <v>9.5310724221187595E-2</v>
      </c>
    </row>
    <row r="13" spans="1:10" x14ac:dyDescent="0.35">
      <c r="A13" s="3">
        <v>2568</v>
      </c>
      <c r="B13" s="3">
        <v>224044</v>
      </c>
      <c r="C13" s="18">
        <v>1024</v>
      </c>
      <c r="D13" s="18">
        <v>1024</v>
      </c>
      <c r="E13" s="19">
        <v>324.70302554220001</v>
      </c>
      <c r="F13" s="19">
        <v>356.09608000516897</v>
      </c>
      <c r="G13" s="12">
        <f>E13/Combined_Summary!$B$23</f>
        <v>1298.8121021688</v>
      </c>
      <c r="H13" s="12">
        <f>F13/Combined_Summary!$B$23</f>
        <v>1424.3843200206759</v>
      </c>
      <c r="I13" s="12">
        <f t="shared" si="0"/>
        <v>125.57221785187585</v>
      </c>
      <c r="J13" s="13">
        <f t="shared" si="1"/>
        <v>9.6682358935669871E-2</v>
      </c>
    </row>
    <row r="14" spans="1:10" x14ac:dyDescent="0.35">
      <c r="A14" s="3">
        <v>2569</v>
      </c>
      <c r="B14" s="3">
        <v>232124</v>
      </c>
      <c r="C14" s="18">
        <v>609</v>
      </c>
      <c r="D14" s="18">
        <v>609</v>
      </c>
      <c r="E14" s="19">
        <v>307.258853260911</v>
      </c>
      <c r="F14" s="19">
        <v>331.65402672678402</v>
      </c>
      <c r="G14" s="12">
        <f>E14/Combined_Summary!$B$23</f>
        <v>1229.035413043644</v>
      </c>
      <c r="H14" s="12">
        <f>F14/Combined_Summary!$B$23</f>
        <v>1326.6161069071361</v>
      </c>
      <c r="I14" s="12">
        <f t="shared" si="0"/>
        <v>97.580693863492115</v>
      </c>
      <c r="J14" s="13">
        <f t="shared" si="1"/>
        <v>7.9396161272390409E-2</v>
      </c>
    </row>
    <row r="15" spans="1:10" x14ac:dyDescent="0.35">
      <c r="A15" s="3">
        <v>2570</v>
      </c>
      <c r="B15" s="3">
        <v>224034</v>
      </c>
      <c r="C15" s="18">
        <v>512</v>
      </c>
      <c r="D15" s="18">
        <v>512</v>
      </c>
      <c r="E15" s="19">
        <v>329.27034472674097</v>
      </c>
      <c r="F15" s="19">
        <v>363.17727373540401</v>
      </c>
      <c r="G15" s="12">
        <f>E15/Combined_Summary!$B$23</f>
        <v>1317.0813789069639</v>
      </c>
      <c r="H15" s="12">
        <f>F15/Combined_Summary!$B$23</f>
        <v>1452.7090949416161</v>
      </c>
      <c r="I15" s="12">
        <f t="shared" si="0"/>
        <v>135.62771603465217</v>
      </c>
      <c r="J15" s="13">
        <f t="shared" si="1"/>
        <v>0.10297595745162581</v>
      </c>
    </row>
    <row r="16" spans="1:10" x14ac:dyDescent="0.35">
      <c r="A16" s="3">
        <v>2571</v>
      </c>
      <c r="B16" s="3">
        <v>223894</v>
      </c>
      <c r="C16" s="18">
        <v>1176</v>
      </c>
      <c r="D16" s="18">
        <v>1176</v>
      </c>
      <c r="E16" s="19">
        <v>335.83436718441197</v>
      </c>
      <c r="F16" s="19">
        <v>360.75954340590903</v>
      </c>
      <c r="G16" s="12">
        <f>E16/Combined_Summary!$B$23</f>
        <v>1343.3374687376479</v>
      </c>
      <c r="H16" s="12">
        <f>F16/Combined_Summary!$B$23</f>
        <v>1443.0381736236361</v>
      </c>
      <c r="I16" s="12">
        <f t="shared" si="0"/>
        <v>99.700704885988216</v>
      </c>
      <c r="J16" s="13">
        <f t="shared" si="1"/>
        <v>7.4218658532377788E-2</v>
      </c>
    </row>
    <row r="17" spans="1:10" x14ac:dyDescent="0.35">
      <c r="A17" s="3">
        <v>2586</v>
      </c>
      <c r="B17" s="3">
        <v>646338</v>
      </c>
      <c r="C17" s="18">
        <v>16</v>
      </c>
      <c r="D17" s="18">
        <v>16</v>
      </c>
      <c r="E17" s="19">
        <v>369.96498584747297</v>
      </c>
      <c r="F17" s="19">
        <v>370.82491970062301</v>
      </c>
      <c r="G17" s="12">
        <f>E17/Combined_Summary!$B$23</f>
        <v>1479.8599433898919</v>
      </c>
      <c r="H17" s="12">
        <f>F17/Combined_Summary!$B$23</f>
        <v>1483.2996788024921</v>
      </c>
      <c r="I17" s="12">
        <f t="shared" si="0"/>
        <v>3.4397354126001574</v>
      </c>
      <c r="J17" s="13">
        <f t="shared" si="1"/>
        <v>2.3243655103744546E-3</v>
      </c>
    </row>
    <row r="18" spans="1:10" x14ac:dyDescent="0.35">
      <c r="A18" s="3">
        <v>2587</v>
      </c>
      <c r="B18" s="3">
        <v>232133</v>
      </c>
      <c r="C18" s="18">
        <v>791</v>
      </c>
      <c r="D18" s="18">
        <v>791</v>
      </c>
      <c r="E18" s="19">
        <v>323.76533752325702</v>
      </c>
      <c r="F18" s="19">
        <v>351.56769392975701</v>
      </c>
      <c r="G18" s="12">
        <f>E18/Combined_Summary!$B$23</f>
        <v>1295.0613500930281</v>
      </c>
      <c r="H18" s="12">
        <f>F18/Combined_Summary!$B$23</f>
        <v>1406.2707757190281</v>
      </c>
      <c r="I18" s="12">
        <f t="shared" si="0"/>
        <v>111.20942562599998</v>
      </c>
      <c r="J18" s="13">
        <f t="shared" si="1"/>
        <v>8.5871936196699472E-2</v>
      </c>
    </row>
    <row r="19" spans="1:10" x14ac:dyDescent="0.35">
      <c r="A19" s="3">
        <v>2588</v>
      </c>
      <c r="B19" s="3">
        <v>232110</v>
      </c>
      <c r="C19" s="18">
        <v>735</v>
      </c>
      <c r="D19" s="18">
        <v>735</v>
      </c>
      <c r="E19" s="19">
        <v>350.16487111720897</v>
      </c>
      <c r="F19" s="19">
        <v>373.46065372804401</v>
      </c>
      <c r="G19" s="12">
        <f>E19/Combined_Summary!$B$23</f>
        <v>1400.6594844688359</v>
      </c>
      <c r="H19" s="12">
        <f>F19/Combined_Summary!$B$23</f>
        <v>1493.842614912176</v>
      </c>
      <c r="I19" s="12">
        <f t="shared" si="0"/>
        <v>93.183130443340133</v>
      </c>
      <c r="J19" s="13">
        <f t="shared" si="1"/>
        <v>6.6528040167219832E-2</v>
      </c>
    </row>
    <row r="20" spans="1:10" x14ac:dyDescent="0.35">
      <c r="A20" s="3">
        <v>2600</v>
      </c>
      <c r="B20" s="3">
        <v>223974</v>
      </c>
      <c r="C20" s="18">
        <v>785</v>
      </c>
      <c r="D20" s="18">
        <v>785</v>
      </c>
      <c r="E20" s="19">
        <v>336.89004690085301</v>
      </c>
      <c r="F20" s="19">
        <v>361.99129612430698</v>
      </c>
      <c r="G20" s="12">
        <f>E20/Combined_Summary!$B$23</f>
        <v>1347.560187603412</v>
      </c>
      <c r="H20" s="12">
        <f>F20/Combined_Summary!$B$23</f>
        <v>1447.9651844972279</v>
      </c>
      <c r="I20" s="12">
        <f t="shared" si="0"/>
        <v>100.40499689381591</v>
      </c>
      <c r="J20" s="13">
        <f t="shared" si="1"/>
        <v>7.4508729047852496E-2</v>
      </c>
    </row>
    <row r="21" spans="1:10" x14ac:dyDescent="0.35">
      <c r="A21" s="3">
        <v>2618</v>
      </c>
      <c r="B21" s="3">
        <v>224170</v>
      </c>
      <c r="C21" s="18">
        <v>672</v>
      </c>
      <c r="D21" s="18">
        <v>672</v>
      </c>
      <c r="E21" s="19">
        <v>307.07786363079401</v>
      </c>
      <c r="F21" s="19">
        <v>344.79726527986099</v>
      </c>
      <c r="G21" s="12">
        <f>E21/Combined_Summary!$B$23</f>
        <v>1228.3114545231761</v>
      </c>
      <c r="H21" s="12">
        <f>F21/Combined_Summary!$B$23</f>
        <v>1379.189061119444</v>
      </c>
      <c r="I21" s="12">
        <f t="shared" si="0"/>
        <v>150.87760659626792</v>
      </c>
      <c r="J21" s="13">
        <f t="shared" si="1"/>
        <v>0.12283334657563526</v>
      </c>
    </row>
    <row r="22" spans="1:10" x14ac:dyDescent="0.35">
      <c r="A22" s="3">
        <v>2619</v>
      </c>
      <c r="B22" s="3">
        <v>224010</v>
      </c>
      <c r="C22" s="18">
        <v>664</v>
      </c>
      <c r="D22" s="18">
        <v>664</v>
      </c>
      <c r="E22" s="19">
        <v>335.158752458641</v>
      </c>
      <c r="F22" s="19">
        <v>362.61230903073999</v>
      </c>
      <c r="G22" s="12">
        <f>E22/Combined_Summary!$B$23</f>
        <v>1340.635009834564</v>
      </c>
      <c r="H22" s="12">
        <f>F22/Combined_Summary!$B$23</f>
        <v>1450.44923612296</v>
      </c>
      <c r="I22" s="12">
        <f t="shared" si="0"/>
        <v>109.81422628839596</v>
      </c>
      <c r="J22" s="13">
        <f t="shared" si="1"/>
        <v>8.19120979855264E-2</v>
      </c>
    </row>
    <row r="23" spans="1:10" x14ac:dyDescent="0.35">
      <c r="A23" s="3">
        <v>2628</v>
      </c>
      <c r="B23" s="3">
        <v>224296</v>
      </c>
      <c r="C23" s="18">
        <v>646</v>
      </c>
      <c r="D23" s="18">
        <v>646</v>
      </c>
      <c r="E23" s="19">
        <v>321.029296556124</v>
      </c>
      <c r="F23" s="19">
        <v>349.98272480684199</v>
      </c>
      <c r="G23" s="12">
        <f>E23/Combined_Summary!$B$23</f>
        <v>1284.117186224496</v>
      </c>
      <c r="H23" s="12">
        <f>F23/Combined_Summary!$B$23</f>
        <v>1399.9308992273679</v>
      </c>
      <c r="I23" s="12">
        <f t="shared" si="0"/>
        <v>115.81371300287196</v>
      </c>
      <c r="J23" s="13">
        <f t="shared" si="1"/>
        <v>9.018936452628773E-2</v>
      </c>
    </row>
    <row r="24" spans="1:10" x14ac:dyDescent="0.35">
      <c r="A24" s="3">
        <v>2632</v>
      </c>
      <c r="B24" s="3">
        <v>224112</v>
      </c>
      <c r="C24" s="18">
        <v>917</v>
      </c>
      <c r="D24" s="18">
        <v>917</v>
      </c>
      <c r="E24" s="19">
        <v>330.77947374882598</v>
      </c>
      <c r="F24" s="19">
        <v>353.470425088897</v>
      </c>
      <c r="G24" s="12">
        <f>E24/Combined_Summary!$B$23</f>
        <v>1323.1178949953039</v>
      </c>
      <c r="H24" s="12">
        <f>F24/Combined_Summary!$B$23</f>
        <v>1413.881700355588</v>
      </c>
      <c r="I24" s="12">
        <f t="shared" si="0"/>
        <v>90.763805360284096</v>
      </c>
      <c r="J24" s="13">
        <f t="shared" si="1"/>
        <v>6.8598426265413209E-2</v>
      </c>
    </row>
    <row r="25" spans="1:10" x14ac:dyDescent="0.35">
      <c r="A25" s="3">
        <v>2633</v>
      </c>
      <c r="B25" s="3">
        <v>223984</v>
      </c>
      <c r="C25" s="18">
        <v>523</v>
      </c>
      <c r="D25" s="18">
        <v>523</v>
      </c>
      <c r="E25" s="19">
        <v>169.710982335457</v>
      </c>
      <c r="F25" s="19">
        <v>226.19180294934</v>
      </c>
      <c r="G25" s="12">
        <f>E25/Combined_Summary!$B$23</f>
        <v>678.84392934182802</v>
      </c>
      <c r="H25" s="12">
        <f>F25/Combined_Summary!$B$23</f>
        <v>904.76721179736001</v>
      </c>
      <c r="I25" s="12">
        <f t="shared" si="0"/>
        <v>225.92328245553199</v>
      </c>
      <c r="J25" s="13">
        <f t="shared" si="1"/>
        <v>0.33280592591374503</v>
      </c>
    </row>
    <row r="26" spans="1:10" x14ac:dyDescent="0.35">
      <c r="A26" s="3">
        <v>2641</v>
      </c>
      <c r="B26" s="3">
        <v>224252</v>
      </c>
      <c r="C26" s="18">
        <v>250</v>
      </c>
      <c r="D26" s="18">
        <v>250</v>
      </c>
      <c r="E26" s="19">
        <v>318.85110931396503</v>
      </c>
      <c r="F26" s="19">
        <v>338.73776602172899</v>
      </c>
      <c r="G26" s="12">
        <f>E26/Combined_Summary!$B$23</f>
        <v>1275.4044372558601</v>
      </c>
      <c r="H26" s="12">
        <f>F26/Combined_Summary!$B$23</f>
        <v>1354.9510640869159</v>
      </c>
      <c r="I26" s="12">
        <f t="shared" si="0"/>
        <v>79.546626831055846</v>
      </c>
      <c r="J26" s="13">
        <f t="shared" si="1"/>
        <v>6.2369727207635485E-2</v>
      </c>
    </row>
    <row r="27" spans="1:10" x14ac:dyDescent="0.35">
      <c r="A27" s="3">
        <v>2642</v>
      </c>
      <c r="B27" s="3">
        <v>230622</v>
      </c>
      <c r="C27" s="18">
        <v>113</v>
      </c>
      <c r="D27" s="18">
        <v>113</v>
      </c>
      <c r="E27" s="19">
        <v>191.21304172752201</v>
      </c>
      <c r="F27" s="19">
        <v>254.255797124542</v>
      </c>
      <c r="G27" s="12">
        <f>E27/Combined_Summary!$B$23</f>
        <v>764.85216691008804</v>
      </c>
      <c r="H27" s="12">
        <f>F27/Combined_Summary!$B$23</f>
        <v>1017.023188498168</v>
      </c>
      <c r="I27" s="12">
        <f t="shared" si="0"/>
        <v>252.17102158807995</v>
      </c>
      <c r="J27" s="13">
        <f t="shared" si="1"/>
        <v>0.32969903531400185</v>
      </c>
    </row>
    <row r="28" spans="1:10" x14ac:dyDescent="0.35">
      <c r="A28" s="3">
        <v>2643</v>
      </c>
      <c r="B28" s="3">
        <v>224080</v>
      </c>
      <c r="C28" s="18">
        <v>833</v>
      </c>
      <c r="D28" s="18">
        <v>833</v>
      </c>
      <c r="E28" s="19">
        <v>326.15754854493099</v>
      </c>
      <c r="F28" s="19">
        <v>355.37370691379601</v>
      </c>
      <c r="G28" s="12">
        <f>E28/Combined_Summary!$B$23</f>
        <v>1304.630194179724</v>
      </c>
      <c r="H28" s="12">
        <f>F28/Combined_Summary!$B$23</f>
        <v>1421.4948276551841</v>
      </c>
      <c r="I28" s="12">
        <f t="shared" si="0"/>
        <v>116.8646334754601</v>
      </c>
      <c r="J28" s="13">
        <f t="shared" si="1"/>
        <v>8.9576827208830478E-2</v>
      </c>
    </row>
    <row r="29" spans="1:10" x14ac:dyDescent="0.35">
      <c r="A29" s="3">
        <v>2648</v>
      </c>
      <c r="B29" s="3">
        <v>224156</v>
      </c>
      <c r="C29" s="18">
        <v>643</v>
      </c>
      <c r="D29" s="18">
        <v>643</v>
      </c>
      <c r="E29" s="19">
        <v>357.901633866282</v>
      </c>
      <c r="F29" s="19">
        <v>393.56517019316402</v>
      </c>
      <c r="G29" s="12">
        <f>E29/Combined_Summary!$B$23</f>
        <v>1431.606535465128</v>
      </c>
      <c r="H29" s="12">
        <f>F29/Combined_Summary!$B$23</f>
        <v>1574.2606807726561</v>
      </c>
      <c r="I29" s="12">
        <f t="shared" si="0"/>
        <v>142.6541453075281</v>
      </c>
      <c r="J29" s="13">
        <f t="shared" si="1"/>
        <v>9.9646195915960856E-2</v>
      </c>
    </row>
    <row r="30" spans="1:10" x14ac:dyDescent="0.35">
      <c r="A30" s="3">
        <v>2656</v>
      </c>
      <c r="B30" s="3">
        <v>224153</v>
      </c>
      <c r="C30" s="18">
        <v>902</v>
      </c>
      <c r="D30" s="18">
        <v>902</v>
      </c>
      <c r="E30" s="19">
        <v>281.834425002138</v>
      </c>
      <c r="F30" s="19">
        <v>308.09812639663602</v>
      </c>
      <c r="G30" s="12">
        <f>E30/Combined_Summary!$B$23</f>
        <v>1127.337700008552</v>
      </c>
      <c r="H30" s="12">
        <f>F30/Combined_Summary!$B$23</f>
        <v>1232.3925055865441</v>
      </c>
      <c r="I30" s="12">
        <f t="shared" si="0"/>
        <v>105.05480557799206</v>
      </c>
      <c r="J30" s="13">
        <f t="shared" si="1"/>
        <v>9.3188408031768213E-2</v>
      </c>
    </row>
    <row r="31" spans="1:10" x14ac:dyDescent="0.35">
      <c r="A31" s="3">
        <v>2663</v>
      </c>
      <c r="B31" s="3">
        <v>224189</v>
      </c>
      <c r="C31" s="18">
        <v>540</v>
      </c>
      <c r="D31" s="18">
        <v>540</v>
      </c>
      <c r="E31" s="19">
        <v>160.139863932574</v>
      </c>
      <c r="F31" s="19">
        <v>200.46473821004199</v>
      </c>
      <c r="G31" s="12">
        <f>E31/Combined_Summary!$B$23</f>
        <v>640.55945573029601</v>
      </c>
      <c r="H31" s="12">
        <f>F31/Combined_Summary!$B$23</f>
        <v>801.85895284016794</v>
      </c>
      <c r="I31" s="12">
        <f t="shared" si="0"/>
        <v>161.29949710987194</v>
      </c>
      <c r="J31" s="13">
        <f t="shared" si="1"/>
        <v>0.25181034432779675</v>
      </c>
    </row>
    <row r="32" spans="1:10" x14ac:dyDescent="0.35">
      <c r="A32" s="3">
        <v>2664</v>
      </c>
      <c r="B32" s="3">
        <v>224176</v>
      </c>
      <c r="C32" s="18">
        <v>501</v>
      </c>
      <c r="D32" s="18">
        <v>501</v>
      </c>
      <c r="E32" s="19">
        <v>302.00812663765498</v>
      </c>
      <c r="F32" s="19">
        <v>332.04555324166103</v>
      </c>
      <c r="G32" s="12">
        <f>E32/Combined_Summary!$B$23</f>
        <v>1208.0325065506199</v>
      </c>
      <c r="H32" s="12">
        <f>F32/Combined_Summary!$B$23</f>
        <v>1328.1822129666441</v>
      </c>
      <c r="I32" s="12">
        <f t="shared" si="0"/>
        <v>120.14970641602417</v>
      </c>
      <c r="J32" s="13">
        <f t="shared" si="1"/>
        <v>9.9459001115041246E-2</v>
      </c>
    </row>
    <row r="33" spans="1:10" x14ac:dyDescent="0.35">
      <c r="A33" s="3">
        <v>2687</v>
      </c>
      <c r="B33" s="3">
        <v>224311</v>
      </c>
      <c r="C33" s="18">
        <v>520</v>
      </c>
      <c r="D33" s="18">
        <v>520</v>
      </c>
      <c r="E33" s="19">
        <v>258.59960108536899</v>
      </c>
      <c r="F33" s="19">
        <v>296.32597622504602</v>
      </c>
      <c r="G33" s="12">
        <f>E33/Combined_Summary!$B$23</f>
        <v>1034.398404341476</v>
      </c>
      <c r="H33" s="12">
        <f>F33/Combined_Summary!$B$23</f>
        <v>1185.3039049001841</v>
      </c>
      <c r="I33" s="12">
        <f t="shared" si="0"/>
        <v>150.90550055870813</v>
      </c>
      <c r="J33" s="13">
        <f t="shared" si="1"/>
        <v>0.14588721321044415</v>
      </c>
    </row>
    <row r="34" spans="1:10" x14ac:dyDescent="0.35">
      <c r="A34" s="3">
        <v>7189</v>
      </c>
      <c r="B34" s="3">
        <v>232127</v>
      </c>
      <c r="C34" s="18">
        <v>564</v>
      </c>
      <c r="D34" s="18">
        <v>564</v>
      </c>
      <c r="E34" s="19">
        <v>346.60337616535003</v>
      </c>
      <c r="F34" s="19">
        <v>372.91363210204599</v>
      </c>
      <c r="G34" s="12">
        <f>E34/Combined_Summary!$B$23</f>
        <v>1386.4135046614001</v>
      </c>
      <c r="H34" s="12">
        <f>F34/Combined_Summary!$B$23</f>
        <v>1491.654528408184</v>
      </c>
      <c r="I34" s="12">
        <f t="shared" si="0"/>
        <v>105.24102374678387</v>
      </c>
      <c r="J34" s="13">
        <f t="shared" si="1"/>
        <v>7.5908827628223791E-2</v>
      </c>
    </row>
    <row r="35" spans="1:10" x14ac:dyDescent="0.35">
      <c r="A35" s="3">
        <v>7191</v>
      </c>
      <c r="B35" s="3">
        <v>223997</v>
      </c>
      <c r="C35" s="18">
        <v>958</v>
      </c>
      <c r="D35" s="18">
        <v>958</v>
      </c>
      <c r="E35" s="19">
        <v>342.26726194314</v>
      </c>
      <c r="F35" s="19">
        <v>366.92685365776401</v>
      </c>
      <c r="G35" s="12">
        <f>E35/Combined_Summary!$B$23</f>
        <v>1369.06904777256</v>
      </c>
      <c r="H35" s="12">
        <f>F35/Combined_Summary!$B$23</f>
        <v>1467.7074146310561</v>
      </c>
      <c r="I35" s="12">
        <f t="shared" si="0"/>
        <v>98.638366858496056</v>
      </c>
      <c r="J35" s="13">
        <f t="shared" si="1"/>
        <v>7.2047766340914754E-2</v>
      </c>
    </row>
    <row r="36" spans="1:10" x14ac:dyDescent="0.35">
      <c r="A36" s="3">
        <v>7204</v>
      </c>
      <c r="B36" s="3">
        <v>645396</v>
      </c>
      <c r="C36" s="18">
        <v>16</v>
      </c>
      <c r="D36" s="18">
        <v>16</v>
      </c>
      <c r="E36" s="19">
        <v>323.59680557250999</v>
      </c>
      <c r="F36" s="19">
        <v>341.72839546203602</v>
      </c>
      <c r="G36" s="12">
        <f>E36/Combined_Summary!$B$23</f>
        <v>1294.38722229004</v>
      </c>
      <c r="H36" s="12">
        <f>F36/Combined_Summary!$B$23</f>
        <v>1366.9135818481441</v>
      </c>
      <c r="I36" s="12">
        <f t="shared" si="0"/>
        <v>72.526359558104105</v>
      </c>
      <c r="J36" s="13">
        <f t="shared" si="1"/>
        <v>5.6031424220790674E-2</v>
      </c>
    </row>
    <row r="37" spans="1:10" x14ac:dyDescent="0.35">
      <c r="A37" s="3">
        <v>7205</v>
      </c>
      <c r="B37" s="3">
        <v>224028</v>
      </c>
      <c r="C37" s="18">
        <v>466</v>
      </c>
      <c r="D37" s="18">
        <v>466</v>
      </c>
      <c r="E37" s="19">
        <v>350.45929257961802</v>
      </c>
      <c r="F37" s="19">
        <v>382.22926199589699</v>
      </c>
      <c r="G37" s="12">
        <f>E37/Combined_Summary!$B$23</f>
        <v>1401.8371703184721</v>
      </c>
      <c r="H37" s="12">
        <f>F37/Combined_Summary!$B$23</f>
        <v>1528.917047983588</v>
      </c>
      <c r="I37" s="12">
        <f t="shared" si="0"/>
        <v>127.07987766511587</v>
      </c>
      <c r="J37" s="13">
        <f t="shared" si="1"/>
        <v>9.0652381286369821E-2</v>
      </c>
    </row>
    <row r="38" spans="1:10" x14ac:dyDescent="0.35">
      <c r="A38" s="3">
        <v>7206</v>
      </c>
      <c r="B38" s="3">
        <v>223899</v>
      </c>
      <c r="C38" s="18">
        <v>600</v>
      </c>
      <c r="D38" s="18">
        <v>600</v>
      </c>
      <c r="E38" s="19">
        <v>312.30497637430801</v>
      </c>
      <c r="F38" s="19">
        <v>342.56818827311201</v>
      </c>
      <c r="G38" s="12">
        <f>E38/Combined_Summary!$B$23</f>
        <v>1249.219905497232</v>
      </c>
      <c r="H38" s="12">
        <f>F38/Combined_Summary!$B$23</f>
        <v>1370.2727530924481</v>
      </c>
      <c r="I38" s="12">
        <f t="shared" si="0"/>
        <v>121.05284759521601</v>
      </c>
      <c r="J38" s="13">
        <f t="shared" si="1"/>
        <v>9.6902752719932733E-2</v>
      </c>
    </row>
    <row r="39" spans="1:10" x14ac:dyDescent="0.35">
      <c r="A39" s="3">
        <v>7216</v>
      </c>
      <c r="B39" s="3">
        <v>649551</v>
      </c>
      <c r="C39" s="18">
        <v>16</v>
      </c>
      <c r="D39" s="18">
        <v>16</v>
      </c>
      <c r="E39" s="19">
        <v>332.63547897338901</v>
      </c>
      <c r="F39" s="19">
        <v>350.47208595275902</v>
      </c>
      <c r="G39" s="12">
        <f>E39/Combined_Summary!$B$23</f>
        <v>1330.5419158935561</v>
      </c>
      <c r="H39" s="12">
        <f>F39/Combined_Summary!$B$23</f>
        <v>1401.8883438110361</v>
      </c>
      <c r="I39" s="12">
        <f t="shared" si="0"/>
        <v>71.346427917480014</v>
      </c>
      <c r="J39" s="13">
        <f t="shared" si="1"/>
        <v>5.3622082149562107E-2</v>
      </c>
    </row>
    <row r="40" spans="1:10" x14ac:dyDescent="0.35">
      <c r="A40" s="3">
        <v>7217</v>
      </c>
      <c r="B40" s="3">
        <v>649554</v>
      </c>
      <c r="C40" s="18">
        <v>16</v>
      </c>
      <c r="D40" s="18">
        <v>16</v>
      </c>
      <c r="E40" s="19">
        <v>354.80217170715298</v>
      </c>
      <c r="F40" s="19">
        <v>376.94474220275902</v>
      </c>
      <c r="G40" s="12">
        <f>E40/Combined_Summary!$B$23</f>
        <v>1419.2086868286119</v>
      </c>
      <c r="H40" s="12">
        <f>F40/Combined_Summary!$B$23</f>
        <v>1507.7789688110361</v>
      </c>
      <c r="I40" s="12">
        <f t="shared" si="0"/>
        <v>88.570281982424149</v>
      </c>
      <c r="J40" s="13">
        <f t="shared" si="1"/>
        <v>6.240821579266459E-2</v>
      </c>
    </row>
    <row r="41" spans="1:10" x14ac:dyDescent="0.35">
      <c r="A41" s="3">
        <v>7237</v>
      </c>
      <c r="B41" s="3">
        <v>232130</v>
      </c>
      <c r="C41" s="18">
        <v>657</v>
      </c>
      <c r="D41" s="18">
        <v>657</v>
      </c>
      <c r="E41" s="19">
        <v>345.23211095685099</v>
      </c>
      <c r="F41" s="19">
        <v>370.95827650189199</v>
      </c>
      <c r="G41" s="12">
        <f>E41/Combined_Summary!$B$23</f>
        <v>1380.928443827404</v>
      </c>
      <c r="H41" s="12">
        <f>F41/Combined_Summary!$B$23</f>
        <v>1483.8331060075679</v>
      </c>
      <c r="I41" s="12">
        <f t="shared" si="0"/>
        <v>102.904662180164</v>
      </c>
      <c r="J41" s="13">
        <f t="shared" si="1"/>
        <v>7.4518460851564286E-2</v>
      </c>
    </row>
    <row r="42" spans="1:10" x14ac:dyDescent="0.35">
      <c r="A42" s="3">
        <v>7238</v>
      </c>
      <c r="B42" s="3">
        <v>224036</v>
      </c>
      <c r="C42" s="18">
        <v>709</v>
      </c>
      <c r="D42" s="18">
        <v>709</v>
      </c>
      <c r="E42" s="19">
        <v>344.94336619195599</v>
      </c>
      <c r="F42" s="19">
        <v>373.090611671695</v>
      </c>
      <c r="G42" s="12">
        <f>E42/Combined_Summary!$B$23</f>
        <v>1379.773464767824</v>
      </c>
      <c r="H42" s="12">
        <f>F42/Combined_Summary!$B$23</f>
        <v>1492.36244668678</v>
      </c>
      <c r="I42" s="12">
        <f t="shared" si="0"/>
        <v>112.58898191895605</v>
      </c>
      <c r="J42" s="13">
        <f t="shared" si="1"/>
        <v>8.1599613845234759E-2</v>
      </c>
    </row>
    <row r="43" spans="1:10" x14ac:dyDescent="0.35">
      <c r="A43" s="3">
        <v>7239</v>
      </c>
      <c r="B43" s="3">
        <v>224035</v>
      </c>
      <c r="C43" s="18">
        <v>570</v>
      </c>
      <c r="D43" s="18">
        <v>570</v>
      </c>
      <c r="E43" s="19">
        <v>338.79989142166897</v>
      </c>
      <c r="F43" s="19">
        <v>366.73434995684698</v>
      </c>
      <c r="G43" s="12">
        <f>E43/Combined_Summary!$B$23</f>
        <v>1355.1995656866759</v>
      </c>
      <c r="H43" s="12">
        <f>F43/Combined_Summary!$B$23</f>
        <v>1466.9373998273879</v>
      </c>
      <c r="I43" s="12">
        <f t="shared" si="0"/>
        <v>111.73783414071204</v>
      </c>
      <c r="J43" s="13">
        <f t="shared" si="1"/>
        <v>8.2451202737874832E-2</v>
      </c>
    </row>
    <row r="44" spans="1:10" x14ac:dyDescent="0.35">
      <c r="A44" s="3">
        <v>7240</v>
      </c>
      <c r="B44" s="3">
        <v>649944</v>
      </c>
      <c r="C44" s="18">
        <v>16</v>
      </c>
      <c r="D44" s="18">
        <v>16</v>
      </c>
      <c r="E44" s="19">
        <v>296.05176353454601</v>
      </c>
      <c r="F44" s="19">
        <v>324.30647850036598</v>
      </c>
      <c r="G44" s="12">
        <f>E44/Combined_Summary!$B$23</f>
        <v>1184.207054138184</v>
      </c>
      <c r="H44" s="12">
        <f>F44/Combined_Summary!$B$23</f>
        <v>1297.2259140014639</v>
      </c>
      <c r="I44" s="12">
        <f t="shared" si="0"/>
        <v>113.01885986327989</v>
      </c>
      <c r="J44" s="13">
        <f t="shared" si="1"/>
        <v>9.5438428160293506E-2</v>
      </c>
    </row>
    <row r="45" spans="1:10" x14ac:dyDescent="0.35">
      <c r="A45" s="3">
        <v>7241</v>
      </c>
      <c r="B45" s="3">
        <v>232090</v>
      </c>
      <c r="C45" s="18">
        <v>972</v>
      </c>
      <c r="D45" s="18">
        <v>972</v>
      </c>
      <c r="E45" s="19">
        <v>320.57514297814998</v>
      </c>
      <c r="F45" s="19">
        <v>355.57773573604601</v>
      </c>
      <c r="G45" s="12">
        <f>E45/Combined_Summary!$B$23</f>
        <v>1282.3005719125999</v>
      </c>
      <c r="H45" s="12">
        <f>F45/Combined_Summary!$B$23</f>
        <v>1422.310942944184</v>
      </c>
      <c r="I45" s="12">
        <f t="shared" si="0"/>
        <v>140.0103710315841</v>
      </c>
      <c r="J45" s="13">
        <f t="shared" si="1"/>
        <v>0.10918685844673166</v>
      </c>
    </row>
    <row r="46" spans="1:10" x14ac:dyDescent="0.35">
      <c r="A46" s="3">
        <v>7242</v>
      </c>
      <c r="B46" s="3">
        <v>223315</v>
      </c>
      <c r="C46" s="18">
        <v>708</v>
      </c>
      <c r="D46" s="18">
        <v>708</v>
      </c>
      <c r="E46" s="19">
        <v>323.36629775419101</v>
      </c>
      <c r="F46" s="19">
        <v>345.53483114942998</v>
      </c>
      <c r="G46" s="12">
        <f>E46/Combined_Summary!$B$23</f>
        <v>1293.465191016764</v>
      </c>
      <c r="H46" s="12">
        <f>F46/Combined_Summary!$B$23</f>
        <v>1382.1393245977199</v>
      </c>
      <c r="I46" s="12">
        <f t="shared" si="0"/>
        <v>88.674133580955868</v>
      </c>
      <c r="J46" s="13">
        <f t="shared" si="1"/>
        <v>6.8555485061991592E-2</v>
      </c>
    </row>
    <row r="47" spans="1:10" x14ac:dyDescent="0.35">
      <c r="A47" s="3">
        <v>7259</v>
      </c>
      <c r="B47" s="3">
        <v>224094</v>
      </c>
      <c r="C47" s="18">
        <v>152</v>
      </c>
      <c r="D47" s="18">
        <v>152</v>
      </c>
      <c r="E47" s="19">
        <v>352.73325473383898</v>
      </c>
      <c r="F47" s="19">
        <v>383.10753310354102</v>
      </c>
      <c r="G47" s="12">
        <f>E47/Combined_Summary!$B$23</f>
        <v>1410.9330189353559</v>
      </c>
      <c r="H47" s="12">
        <f>F47/Combined_Summary!$B$23</f>
        <v>1532.4301324141641</v>
      </c>
      <c r="I47" s="12">
        <f t="shared" si="0"/>
        <v>121.49711347880816</v>
      </c>
      <c r="J47" s="13">
        <f t="shared" si="1"/>
        <v>8.6111184477407662E-2</v>
      </c>
    </row>
    <row r="48" spans="1:10" x14ac:dyDescent="0.35">
      <c r="A48" s="3">
        <v>7260</v>
      </c>
      <c r="B48" s="3">
        <v>224074</v>
      </c>
      <c r="C48" s="18">
        <v>587</v>
      </c>
      <c r="D48" s="18">
        <v>587</v>
      </c>
      <c r="E48" s="19">
        <v>338.16401296742299</v>
      </c>
      <c r="F48" s="19">
        <v>369.67438530475198</v>
      </c>
      <c r="G48" s="12">
        <f>E48/Combined_Summary!$B$23</f>
        <v>1352.656051869692</v>
      </c>
      <c r="H48" s="12">
        <f>F48/Combined_Summary!$B$23</f>
        <v>1478.6975412190079</v>
      </c>
      <c r="I48" s="12">
        <f t="shared" si="0"/>
        <v>126.04148934931595</v>
      </c>
      <c r="J48" s="13">
        <f t="shared" si="1"/>
        <v>9.3180738130063945E-2</v>
      </c>
    </row>
    <row r="49" spans="1:10" x14ac:dyDescent="0.35">
      <c r="A49" s="3">
        <v>7261</v>
      </c>
      <c r="B49" s="3">
        <v>232123</v>
      </c>
      <c r="C49" s="18">
        <v>664</v>
      </c>
      <c r="D49" s="18">
        <v>664</v>
      </c>
      <c r="E49" s="19">
        <v>329.60084637676403</v>
      </c>
      <c r="F49" s="19">
        <v>350.068692540548</v>
      </c>
      <c r="G49" s="12">
        <f>E49/Combined_Summary!$B$23</f>
        <v>1318.4033855070561</v>
      </c>
      <c r="H49" s="12">
        <f>F49/Combined_Summary!$B$23</f>
        <v>1400.274770162192</v>
      </c>
      <c r="I49" s="12">
        <f t="shared" si="0"/>
        <v>81.871384655135898</v>
      </c>
      <c r="J49" s="13">
        <f t="shared" si="1"/>
        <v>6.2098888363858594E-2</v>
      </c>
    </row>
    <row r="50" spans="1:10" x14ac:dyDescent="0.35">
      <c r="A50" s="3">
        <v>7272</v>
      </c>
      <c r="B50" s="3">
        <v>232134</v>
      </c>
      <c r="C50" s="18">
        <v>661</v>
      </c>
      <c r="D50" s="18">
        <v>661</v>
      </c>
      <c r="E50" s="19">
        <v>313.45435822064098</v>
      </c>
      <c r="F50" s="19">
        <v>342.02932562662198</v>
      </c>
      <c r="G50" s="12">
        <f>E50/Combined_Summary!$B$23</f>
        <v>1253.8174328825639</v>
      </c>
      <c r="H50" s="12">
        <f>F50/Combined_Summary!$B$23</f>
        <v>1368.1173025064879</v>
      </c>
      <c r="I50" s="12">
        <f t="shared" si="0"/>
        <v>114.299869623924</v>
      </c>
      <c r="J50" s="13">
        <f t="shared" si="1"/>
        <v>9.1161493393137116E-2</v>
      </c>
    </row>
    <row r="51" spans="1:10" x14ac:dyDescent="0.35">
      <c r="A51" s="3">
        <v>7273</v>
      </c>
      <c r="B51" s="3">
        <v>224100</v>
      </c>
      <c r="C51" s="18">
        <v>1001</v>
      </c>
      <c r="D51" s="18">
        <v>1001</v>
      </c>
      <c r="E51" s="19">
        <v>338.93279442039301</v>
      </c>
      <c r="F51" s="19">
        <v>372.77866798728598</v>
      </c>
      <c r="G51" s="12">
        <f>E51/Combined_Summary!$B$23</f>
        <v>1355.731177681572</v>
      </c>
      <c r="H51" s="12">
        <f>F51/Combined_Summary!$B$23</f>
        <v>1491.1146719491439</v>
      </c>
      <c r="I51" s="12">
        <f t="shared" si="0"/>
        <v>135.3834942675719</v>
      </c>
      <c r="J51" s="13">
        <f t="shared" si="1"/>
        <v>9.9860131931973725E-2</v>
      </c>
    </row>
    <row r="52" spans="1:10" x14ac:dyDescent="0.35">
      <c r="A52" s="3">
        <v>7274</v>
      </c>
      <c r="B52" s="3">
        <v>224011</v>
      </c>
      <c r="C52" s="18">
        <v>645</v>
      </c>
      <c r="D52" s="18">
        <v>645</v>
      </c>
      <c r="E52" s="19">
        <v>319.67611419322901</v>
      </c>
      <c r="F52" s="19">
        <v>346.56875731002498</v>
      </c>
      <c r="G52" s="12">
        <f>E52/Combined_Summary!$B$23</f>
        <v>1278.704456772916</v>
      </c>
      <c r="H52" s="12">
        <f>F52/Combined_Summary!$B$23</f>
        <v>1386.2750292400999</v>
      </c>
      <c r="I52" s="12">
        <f t="shared" si="0"/>
        <v>107.57057246718387</v>
      </c>
      <c r="J52" s="13">
        <f t="shared" si="1"/>
        <v>8.4124655933913925E-2</v>
      </c>
    </row>
    <row r="53" spans="1:10" x14ac:dyDescent="0.35">
      <c r="A53" s="3">
        <v>7288</v>
      </c>
      <c r="B53" s="3">
        <v>224041</v>
      </c>
      <c r="C53" s="18">
        <v>745</v>
      </c>
      <c r="D53" s="18">
        <v>745</v>
      </c>
      <c r="E53" s="19">
        <v>326.47478130263801</v>
      </c>
      <c r="F53" s="19">
        <v>351.58888067463101</v>
      </c>
      <c r="G53" s="12">
        <f>E53/Combined_Summary!$B$23</f>
        <v>1305.899125210552</v>
      </c>
      <c r="H53" s="12">
        <f>F53/Combined_Summary!$B$23</f>
        <v>1406.3555226985241</v>
      </c>
      <c r="I53" s="12">
        <f t="shared" si="0"/>
        <v>100.45639748797203</v>
      </c>
      <c r="J53" s="13">
        <f t="shared" si="1"/>
        <v>7.6925082151177104E-2</v>
      </c>
    </row>
    <row r="54" spans="1:10" x14ac:dyDescent="0.35">
      <c r="A54" s="3">
        <v>7289</v>
      </c>
      <c r="B54" s="3">
        <v>223898</v>
      </c>
      <c r="C54" s="18">
        <v>1043</v>
      </c>
      <c r="D54" s="18">
        <v>1043</v>
      </c>
      <c r="E54" s="19">
        <v>251.270771692263</v>
      </c>
      <c r="F54" s="19">
        <v>307.129498511924</v>
      </c>
      <c r="G54" s="12">
        <f>E54/Combined_Summary!$B$23</f>
        <v>1005.083086769052</v>
      </c>
      <c r="H54" s="12">
        <f>F54/Combined_Summary!$B$23</f>
        <v>1228.517994047696</v>
      </c>
      <c r="I54" s="12">
        <f t="shared" si="0"/>
        <v>223.434907278644</v>
      </c>
      <c r="J54" s="13">
        <f t="shared" si="1"/>
        <v>0.22230491212114575</v>
      </c>
    </row>
    <row r="55" spans="1:10" x14ac:dyDescent="0.35">
      <c r="A55" s="3">
        <v>7290</v>
      </c>
      <c r="B55" s="3">
        <v>232106</v>
      </c>
      <c r="C55" s="18">
        <v>869</v>
      </c>
      <c r="D55" s="18">
        <v>869</v>
      </c>
      <c r="E55" s="19">
        <v>333.703362108237</v>
      </c>
      <c r="F55" s="19">
        <v>359.87870532212497</v>
      </c>
      <c r="G55" s="12">
        <f>E55/Combined_Summary!$B$23</f>
        <v>1334.813448432948</v>
      </c>
      <c r="H55" s="12">
        <f>F55/Combined_Summary!$B$23</f>
        <v>1439.5148212884999</v>
      </c>
      <c r="I55" s="12">
        <f t="shared" si="0"/>
        <v>104.70137285555188</v>
      </c>
      <c r="J55" s="13">
        <f t="shared" si="1"/>
        <v>7.8438955629694773E-2</v>
      </c>
    </row>
    <row r="56" spans="1:10" x14ac:dyDescent="0.35">
      <c r="A56" s="3">
        <v>7312</v>
      </c>
      <c r="B56" s="3">
        <v>224111</v>
      </c>
      <c r="C56" s="18">
        <v>729</v>
      </c>
      <c r="D56" s="18">
        <v>729</v>
      </c>
      <c r="E56" s="19">
        <v>345.32013343947102</v>
      </c>
      <c r="F56" s="19">
        <v>370.05396094930501</v>
      </c>
      <c r="G56" s="12">
        <f>E56/Combined_Summary!$B$23</f>
        <v>1381.2805337578841</v>
      </c>
      <c r="H56" s="12">
        <f>F56/Combined_Summary!$B$23</f>
        <v>1480.21584379722</v>
      </c>
      <c r="I56" s="12">
        <f t="shared" si="0"/>
        <v>98.935310039335945</v>
      </c>
      <c r="J56" s="13">
        <f t="shared" si="1"/>
        <v>7.1625790432429046E-2</v>
      </c>
    </row>
    <row r="57" spans="1:10" x14ac:dyDescent="0.35">
      <c r="A57" s="3">
        <v>7313</v>
      </c>
      <c r="B57" s="3">
        <v>224103</v>
      </c>
      <c r="C57" s="18">
        <v>656</v>
      </c>
      <c r="D57" s="18">
        <v>656</v>
      </c>
      <c r="E57" s="19">
        <v>327.477000567971</v>
      </c>
      <c r="F57" s="19">
        <v>344.63491706150302</v>
      </c>
      <c r="G57" s="12">
        <f>E57/Combined_Summary!$B$23</f>
        <v>1309.908002271884</v>
      </c>
      <c r="H57" s="12">
        <f>F57/Combined_Summary!$B$23</f>
        <v>1378.5396682460121</v>
      </c>
      <c r="I57" s="12">
        <f t="shared" si="0"/>
        <v>68.631665974128055</v>
      </c>
      <c r="J57" s="13">
        <f t="shared" si="1"/>
        <v>5.2394264219391258E-2</v>
      </c>
    </row>
    <row r="58" spans="1:10" x14ac:dyDescent="0.35">
      <c r="A58" s="3">
        <v>7323</v>
      </c>
      <c r="B58" s="3">
        <v>223982</v>
      </c>
      <c r="C58" s="18">
        <v>517</v>
      </c>
      <c r="D58" s="18">
        <v>517</v>
      </c>
      <c r="E58" s="19">
        <v>190.78220631582801</v>
      </c>
      <c r="F58" s="19">
        <v>226.95268743872899</v>
      </c>
      <c r="G58" s="12">
        <f>E58/Combined_Summary!$B$23</f>
        <v>763.12882526331202</v>
      </c>
      <c r="H58" s="12">
        <f>F58/Combined_Summary!$B$23</f>
        <v>907.81074975491595</v>
      </c>
      <c r="I58" s="12">
        <f t="shared" si="0"/>
        <v>144.68192449160392</v>
      </c>
      <c r="J58" s="13">
        <f t="shared" si="1"/>
        <v>0.18959043309847781</v>
      </c>
    </row>
    <row r="59" spans="1:10" x14ac:dyDescent="0.35">
      <c r="A59" s="3">
        <v>7330</v>
      </c>
      <c r="B59" s="3">
        <v>224226</v>
      </c>
      <c r="C59" s="18">
        <v>1076</v>
      </c>
      <c r="D59" s="18">
        <v>1076</v>
      </c>
      <c r="E59" s="19">
        <v>323.60845591321799</v>
      </c>
      <c r="F59" s="19">
        <v>350.11915004120402</v>
      </c>
      <c r="G59" s="12">
        <f>E59/Combined_Summary!$B$23</f>
        <v>1294.433823652872</v>
      </c>
      <c r="H59" s="12">
        <f>F59/Combined_Summary!$B$23</f>
        <v>1400.4766001648161</v>
      </c>
      <c r="I59" s="12">
        <f t="shared" si="0"/>
        <v>106.04277651194411</v>
      </c>
      <c r="J59" s="13">
        <f t="shared" si="1"/>
        <v>8.1922130412733704E-2</v>
      </c>
    </row>
    <row r="60" spans="1:10" x14ac:dyDescent="0.35">
      <c r="A60" s="3">
        <v>7331</v>
      </c>
      <c r="B60" s="3">
        <v>224202</v>
      </c>
      <c r="C60" s="18">
        <v>701</v>
      </c>
      <c r="D60" s="18">
        <v>701</v>
      </c>
      <c r="E60" s="19">
        <v>334.417381928753</v>
      </c>
      <c r="F60" s="19">
        <v>369.72128258894202</v>
      </c>
      <c r="G60" s="12">
        <f>E60/Combined_Summary!$B$23</f>
        <v>1337.669527715012</v>
      </c>
      <c r="H60" s="12">
        <f>F60/Combined_Summary!$B$23</f>
        <v>1478.8851303557681</v>
      </c>
      <c r="I60" s="12">
        <f t="shared" si="0"/>
        <v>141.21560264075606</v>
      </c>
      <c r="J60" s="13">
        <f t="shared" si="1"/>
        <v>0.10556837822416314</v>
      </c>
    </row>
    <row r="61" spans="1:10" x14ac:dyDescent="0.35">
      <c r="A61" s="3">
        <v>7342</v>
      </c>
      <c r="B61" s="3">
        <v>224182</v>
      </c>
      <c r="C61" s="18">
        <v>546</v>
      </c>
      <c r="D61" s="18">
        <v>546</v>
      </c>
      <c r="E61" s="19">
        <v>334.70865752670801</v>
      </c>
      <c r="F61" s="19">
        <v>368.47501297835498</v>
      </c>
      <c r="G61" s="12">
        <f>E61/Combined_Summary!$B$23</f>
        <v>1338.834630106832</v>
      </c>
      <c r="H61" s="12">
        <f>F61/Combined_Summary!$B$23</f>
        <v>1473.9000519134199</v>
      </c>
      <c r="I61" s="12">
        <f t="shared" si="0"/>
        <v>135.06542180658789</v>
      </c>
      <c r="J61" s="13">
        <f t="shared" si="1"/>
        <v>0.10088282657867191</v>
      </c>
    </row>
    <row r="62" spans="1:10" x14ac:dyDescent="0.35">
      <c r="A62" s="3">
        <v>7343</v>
      </c>
      <c r="B62" s="3">
        <v>223979</v>
      </c>
      <c r="C62" s="18">
        <v>831</v>
      </c>
      <c r="D62" s="18">
        <v>831</v>
      </c>
      <c r="E62" s="19">
        <v>185.829795685916</v>
      </c>
      <c r="F62" s="19">
        <v>251.230142742575</v>
      </c>
      <c r="G62" s="12">
        <f>E62/Combined_Summary!$B$23</f>
        <v>743.31918274366399</v>
      </c>
      <c r="H62" s="12">
        <f>F62/Combined_Summary!$B$23</f>
        <v>1004.9205709703</v>
      </c>
      <c r="I62" s="12">
        <f t="shared" si="0"/>
        <v>261.601388226636</v>
      </c>
      <c r="J62" s="13">
        <f t="shared" si="1"/>
        <v>0.35193681839481072</v>
      </c>
    </row>
    <row r="63" spans="1:10" x14ac:dyDescent="0.35">
      <c r="A63" s="3">
        <v>7349</v>
      </c>
      <c r="B63" s="3">
        <v>224188</v>
      </c>
      <c r="C63" s="18">
        <v>1069</v>
      </c>
      <c r="D63" s="18">
        <v>1069</v>
      </c>
      <c r="E63" s="19">
        <v>338.16242098116902</v>
      </c>
      <c r="F63" s="19">
        <v>368.30080343876301</v>
      </c>
      <c r="G63" s="12">
        <f>E63/Combined_Summary!$B$23</f>
        <v>1352.6496839246761</v>
      </c>
      <c r="H63" s="12">
        <f>F63/Combined_Summary!$B$23</f>
        <v>1473.203213755052</v>
      </c>
      <c r="I63" s="12">
        <f t="shared" si="0"/>
        <v>120.55352983037596</v>
      </c>
      <c r="J63" s="13">
        <f t="shared" si="1"/>
        <v>8.9123984770833789E-2</v>
      </c>
    </row>
    <row r="64" spans="1:10" x14ac:dyDescent="0.35">
      <c r="A64" s="3">
        <v>7350</v>
      </c>
      <c r="B64" s="3">
        <v>224165</v>
      </c>
      <c r="C64" s="18">
        <v>916</v>
      </c>
      <c r="D64" s="18">
        <v>916</v>
      </c>
      <c r="E64" s="19">
        <v>308.03760510240602</v>
      </c>
      <c r="F64" s="19">
        <v>337.99897392139701</v>
      </c>
      <c r="G64" s="12">
        <f>E64/Combined_Summary!$B$23</f>
        <v>1232.1504204096241</v>
      </c>
      <c r="H64" s="12">
        <f>F64/Combined_Summary!$B$23</f>
        <v>1351.995895685588</v>
      </c>
      <c r="I64" s="12">
        <f t="shared" si="0"/>
        <v>119.84547527596396</v>
      </c>
      <c r="J64" s="13">
        <f t="shared" si="1"/>
        <v>9.7265295933691084E-2</v>
      </c>
    </row>
    <row r="65" spans="1:10" x14ac:dyDescent="0.35">
      <c r="A65" s="3">
        <v>7351</v>
      </c>
      <c r="B65" s="3">
        <v>224005</v>
      </c>
      <c r="C65" s="18">
        <v>751</v>
      </c>
      <c r="D65" s="18">
        <v>751</v>
      </c>
      <c r="E65" s="19">
        <v>175.62051873137301</v>
      </c>
      <c r="F65" s="19">
        <v>221.35584153379801</v>
      </c>
      <c r="G65" s="12">
        <f>E65/Combined_Summary!$B$23</f>
        <v>702.48207492549204</v>
      </c>
      <c r="H65" s="12">
        <f>F65/Combined_Summary!$B$23</f>
        <v>885.42336613519205</v>
      </c>
      <c r="I65" s="12">
        <f t="shared" si="0"/>
        <v>182.94129120970001</v>
      </c>
      <c r="J65" s="13">
        <f t="shared" si="1"/>
        <v>0.26042129434989991</v>
      </c>
    </row>
    <row r="66" spans="1:10" x14ac:dyDescent="0.35">
      <c r="A66" s="3">
        <v>7361</v>
      </c>
      <c r="B66" s="3">
        <v>447672</v>
      </c>
      <c r="C66" s="18">
        <v>530</v>
      </c>
      <c r="D66" s="18">
        <v>530</v>
      </c>
      <c r="E66" s="19">
        <v>283.547782235775</v>
      </c>
      <c r="F66" s="19">
        <v>325.68361812087699</v>
      </c>
      <c r="G66" s="12">
        <f>E66/Combined_Summary!$B$23</f>
        <v>1134.1911289431</v>
      </c>
      <c r="H66" s="12">
        <f>F66/Combined_Summary!$B$23</f>
        <v>1302.7344724835079</v>
      </c>
      <c r="I66" s="12">
        <f t="shared" ref="I66:I129" si="2">H66-G66</f>
        <v>168.54334354040793</v>
      </c>
      <c r="J66" s="13">
        <f t="shared" ref="J66:J129" si="3">IF(G66=0,"",I66/G66)</f>
        <v>0.14860224105038244</v>
      </c>
    </row>
    <row r="67" spans="1:10" x14ac:dyDescent="0.35">
      <c r="A67" s="3">
        <v>7362</v>
      </c>
      <c r="B67" s="3">
        <v>806223</v>
      </c>
      <c r="C67" s="18">
        <v>798</v>
      </c>
      <c r="D67" s="18">
        <v>798</v>
      </c>
      <c r="E67" s="19">
        <v>340.947735277334</v>
      </c>
      <c r="F67" s="19">
        <v>374.88418591530399</v>
      </c>
      <c r="G67" s="12">
        <f>E67/Combined_Summary!$B$23</f>
        <v>1363.790941109336</v>
      </c>
      <c r="H67" s="12">
        <f>F67/Combined_Summary!$B$23</f>
        <v>1499.536743661216</v>
      </c>
      <c r="I67" s="12">
        <f t="shared" si="2"/>
        <v>135.74580255187993</v>
      </c>
      <c r="J67" s="13">
        <f t="shared" si="3"/>
        <v>9.9535638828530032E-2</v>
      </c>
    </row>
    <row r="68" spans="1:10" x14ac:dyDescent="0.35">
      <c r="A68" s="3">
        <v>7363</v>
      </c>
      <c r="B68" s="3">
        <v>224081</v>
      </c>
      <c r="C68" s="18">
        <v>733</v>
      </c>
      <c r="D68" s="18">
        <v>733</v>
      </c>
      <c r="E68" s="19">
        <v>309.15268548026103</v>
      </c>
      <c r="F68" s="19">
        <v>338.94110440492301</v>
      </c>
      <c r="G68" s="12">
        <f>E68/Combined_Summary!$B$23</f>
        <v>1236.6107419210441</v>
      </c>
      <c r="H68" s="12">
        <f>F68/Combined_Summary!$B$23</f>
        <v>1355.764417619692</v>
      </c>
      <c r="I68" s="12">
        <f t="shared" si="2"/>
        <v>119.15367569864793</v>
      </c>
      <c r="J68" s="13">
        <f t="shared" si="3"/>
        <v>9.6355038541510368E-2</v>
      </c>
    </row>
    <row r="69" spans="1:10" x14ac:dyDescent="0.35">
      <c r="A69" s="3">
        <v>7393</v>
      </c>
      <c r="B69" s="3">
        <v>224186</v>
      </c>
      <c r="C69" s="18">
        <v>513</v>
      </c>
      <c r="D69" s="18">
        <v>513</v>
      </c>
      <c r="E69" s="19">
        <v>262.17322039093</v>
      </c>
      <c r="F69" s="19">
        <v>305.10683228490899</v>
      </c>
      <c r="G69" s="12">
        <f>E69/Combined_Summary!$B$23</f>
        <v>1048.69288156372</v>
      </c>
      <c r="H69" s="12">
        <f>F69/Combined_Summary!$B$23</f>
        <v>1220.427329139636</v>
      </c>
      <c r="I69" s="12">
        <f t="shared" si="2"/>
        <v>171.73444757591596</v>
      </c>
      <c r="J69" s="13">
        <f t="shared" si="3"/>
        <v>0.16376047801510812</v>
      </c>
    </row>
    <row r="70" spans="1:10" x14ac:dyDescent="0.35">
      <c r="A70" s="3">
        <v>11925</v>
      </c>
      <c r="B70" s="3">
        <v>224092</v>
      </c>
      <c r="C70" s="18">
        <v>959</v>
      </c>
      <c r="D70" s="18">
        <v>959</v>
      </c>
      <c r="E70" s="19">
        <v>359.89996504957702</v>
      </c>
      <c r="F70" s="19">
        <v>387.60063454605103</v>
      </c>
      <c r="G70" s="12">
        <f>E70/Combined_Summary!$B$23</f>
        <v>1439.5998601983081</v>
      </c>
      <c r="H70" s="12">
        <f>F70/Combined_Summary!$B$23</f>
        <v>1550.4025381842041</v>
      </c>
      <c r="I70" s="12">
        <f t="shared" si="2"/>
        <v>110.80267798589603</v>
      </c>
      <c r="J70" s="13">
        <f t="shared" si="3"/>
        <v>7.6967691543560382E-2</v>
      </c>
    </row>
    <row r="71" spans="1:10" x14ac:dyDescent="0.35">
      <c r="A71" s="3">
        <v>11926</v>
      </c>
      <c r="B71" s="3">
        <v>450956</v>
      </c>
      <c r="C71" s="18">
        <v>571</v>
      </c>
      <c r="D71" s="18">
        <v>571</v>
      </c>
      <c r="E71" s="19">
        <v>345.12541043737502</v>
      </c>
      <c r="F71" s="19">
        <v>375.02796460367102</v>
      </c>
      <c r="G71" s="12">
        <f>E71/Combined_Summary!$B$23</f>
        <v>1380.5016417495001</v>
      </c>
      <c r="H71" s="12">
        <f>F71/Combined_Summary!$B$23</f>
        <v>1500.1118584146841</v>
      </c>
      <c r="I71" s="12">
        <f t="shared" si="2"/>
        <v>119.610216665184</v>
      </c>
      <c r="J71" s="13">
        <f t="shared" si="3"/>
        <v>8.6642574733632918E-2</v>
      </c>
    </row>
    <row r="72" spans="1:10" x14ac:dyDescent="0.35">
      <c r="A72" s="3">
        <v>11927</v>
      </c>
      <c r="B72" s="3">
        <v>224159</v>
      </c>
      <c r="C72" s="18">
        <v>533</v>
      </c>
      <c r="D72" s="18">
        <v>533</v>
      </c>
      <c r="E72" s="19">
        <v>344.48401295445399</v>
      </c>
      <c r="F72" s="19">
        <v>369.04382226883098</v>
      </c>
      <c r="G72" s="12">
        <f>E72/Combined_Summary!$B$23</f>
        <v>1377.936051817816</v>
      </c>
      <c r="H72" s="12">
        <f>F72/Combined_Summary!$B$23</f>
        <v>1476.1752890753239</v>
      </c>
      <c r="I72" s="12">
        <f t="shared" si="2"/>
        <v>98.239237257507966</v>
      </c>
      <c r="J72" s="13">
        <f t="shared" si="3"/>
        <v>7.1294482155327688E-2</v>
      </c>
    </row>
    <row r="73" spans="1:10" x14ac:dyDescent="0.35">
      <c r="A73" s="3">
        <v>11928</v>
      </c>
      <c r="B73" s="3">
        <v>223969</v>
      </c>
      <c r="C73" s="18">
        <v>533</v>
      </c>
      <c r="D73" s="18">
        <v>533</v>
      </c>
      <c r="E73" s="19">
        <v>293.01223141525298</v>
      </c>
      <c r="F73" s="19">
        <v>333.67219208507998</v>
      </c>
      <c r="G73" s="12">
        <f>E73/Combined_Summary!$B$23</f>
        <v>1172.0489256610119</v>
      </c>
      <c r="H73" s="12">
        <f>F73/Combined_Summary!$B$23</f>
        <v>1334.6887683403199</v>
      </c>
      <c r="I73" s="12">
        <f t="shared" si="2"/>
        <v>162.639842679308</v>
      </c>
      <c r="J73" s="13">
        <f t="shared" si="3"/>
        <v>0.13876540400186999</v>
      </c>
    </row>
    <row r="74" spans="1:10" x14ac:dyDescent="0.35">
      <c r="A74" s="3">
        <v>11929</v>
      </c>
      <c r="B74" s="3">
        <v>223897</v>
      </c>
      <c r="C74" s="18">
        <v>598</v>
      </c>
      <c r="D74" s="18">
        <v>598</v>
      </c>
      <c r="E74" s="19">
        <v>317.44995235838599</v>
      </c>
      <c r="F74" s="19">
        <v>346.223403637226</v>
      </c>
      <c r="G74" s="12">
        <f>E74/Combined_Summary!$B$23</f>
        <v>1269.7998094335439</v>
      </c>
      <c r="H74" s="12">
        <f>F74/Combined_Summary!$B$23</f>
        <v>1384.893614548904</v>
      </c>
      <c r="I74" s="12">
        <f t="shared" si="2"/>
        <v>115.09380511536006</v>
      </c>
      <c r="J74" s="13">
        <f t="shared" si="3"/>
        <v>9.0639330908943244E-2</v>
      </c>
    </row>
    <row r="75" spans="1:10" x14ac:dyDescent="0.35">
      <c r="A75" s="3">
        <v>11942</v>
      </c>
      <c r="B75" s="3">
        <v>224079</v>
      </c>
      <c r="C75" s="18">
        <v>694</v>
      </c>
      <c r="D75" s="18">
        <v>694</v>
      </c>
      <c r="E75" s="19">
        <v>342.38470008256502</v>
      </c>
      <c r="F75" s="19">
        <v>372.67026330689498</v>
      </c>
      <c r="G75" s="12">
        <f>E75/Combined_Summary!$B$23</f>
        <v>1369.5388003302601</v>
      </c>
      <c r="H75" s="12">
        <f>F75/Combined_Summary!$B$23</f>
        <v>1490.6810532275799</v>
      </c>
      <c r="I75" s="12">
        <f t="shared" si="2"/>
        <v>121.14225289731985</v>
      </c>
      <c r="J75" s="13">
        <f t="shared" si="3"/>
        <v>8.8454779717162285E-2</v>
      </c>
    </row>
    <row r="76" spans="1:10" x14ac:dyDescent="0.35">
      <c r="A76" s="3">
        <v>11954</v>
      </c>
      <c r="B76" s="3">
        <v>224040</v>
      </c>
      <c r="C76" s="18">
        <v>689</v>
      </c>
      <c r="D76" s="18">
        <v>689</v>
      </c>
      <c r="E76" s="19">
        <v>343.268012186612</v>
      </c>
      <c r="F76" s="19">
        <v>371.82183357316302</v>
      </c>
      <c r="G76" s="12">
        <f>E76/Combined_Summary!$B$23</f>
        <v>1373.072048746448</v>
      </c>
      <c r="H76" s="12">
        <f>F76/Combined_Summary!$B$23</f>
        <v>1487.2873342926521</v>
      </c>
      <c r="I76" s="12">
        <f t="shared" si="2"/>
        <v>114.21528554620409</v>
      </c>
      <c r="J76" s="13">
        <f t="shared" si="3"/>
        <v>8.3182295969448525E-2</v>
      </c>
    </row>
    <row r="77" spans="1:10" x14ac:dyDescent="0.35">
      <c r="A77" s="3">
        <v>11955</v>
      </c>
      <c r="B77" s="3">
        <v>223971</v>
      </c>
      <c r="C77" s="18">
        <v>494</v>
      </c>
      <c r="D77" s="18">
        <v>494</v>
      </c>
      <c r="E77" s="19">
        <v>299.94256834269498</v>
      </c>
      <c r="F77" s="19">
        <v>322.43988518965898</v>
      </c>
      <c r="G77" s="12">
        <f>E77/Combined_Summary!$B$23</f>
        <v>1199.7702733707799</v>
      </c>
      <c r="H77" s="12">
        <f>F77/Combined_Summary!$B$23</f>
        <v>1289.7595407586359</v>
      </c>
      <c r="I77" s="12">
        <f t="shared" si="2"/>
        <v>89.989267387855989</v>
      </c>
      <c r="J77" s="13">
        <f t="shared" si="3"/>
        <v>7.5005415107534917E-2</v>
      </c>
    </row>
    <row r="78" spans="1:10" x14ac:dyDescent="0.35">
      <c r="A78" s="3">
        <v>11956</v>
      </c>
      <c r="B78" s="3">
        <v>232119</v>
      </c>
      <c r="C78" s="18">
        <v>565</v>
      </c>
      <c r="D78" s="18">
        <v>565</v>
      </c>
      <c r="E78" s="19">
        <v>333.37742861857498</v>
      </c>
      <c r="F78" s="19">
        <v>352.57657796133901</v>
      </c>
      <c r="G78" s="12">
        <f>E78/Combined_Summary!$B$23</f>
        <v>1333.5097144742999</v>
      </c>
      <c r="H78" s="12">
        <f>F78/Combined_Summary!$B$23</f>
        <v>1410.306311845356</v>
      </c>
      <c r="I78" s="12">
        <f t="shared" si="2"/>
        <v>76.796597371056123</v>
      </c>
      <c r="J78" s="13">
        <f t="shared" si="3"/>
        <v>5.7589829708388066E-2</v>
      </c>
    </row>
    <row r="79" spans="1:10" x14ac:dyDescent="0.35">
      <c r="A79" s="3">
        <v>11967</v>
      </c>
      <c r="B79" s="3">
        <v>232128</v>
      </c>
      <c r="C79" s="18">
        <v>596</v>
      </c>
      <c r="D79" s="18">
        <v>596</v>
      </c>
      <c r="E79" s="19">
        <v>344.86987912094799</v>
      </c>
      <c r="F79" s="19">
        <v>369.15895646370501</v>
      </c>
      <c r="G79" s="12">
        <f>E79/Combined_Summary!$B$23</f>
        <v>1379.4795164837919</v>
      </c>
      <c r="H79" s="12">
        <f>F79/Combined_Summary!$B$23</f>
        <v>1476.63582585482</v>
      </c>
      <c r="I79" s="12">
        <f t="shared" si="2"/>
        <v>97.156309371028101</v>
      </c>
      <c r="J79" s="13">
        <f t="shared" si="3"/>
        <v>7.0429686131674885E-2</v>
      </c>
    </row>
    <row r="80" spans="1:10" x14ac:dyDescent="0.35">
      <c r="A80" s="3">
        <v>11968</v>
      </c>
      <c r="B80" s="3">
        <v>232122</v>
      </c>
      <c r="C80" s="18">
        <v>545</v>
      </c>
      <c r="D80" s="18">
        <v>545</v>
      </c>
      <c r="E80" s="19">
        <v>320.72165410452999</v>
      </c>
      <c r="F80" s="19">
        <v>349.03691759022001</v>
      </c>
      <c r="G80" s="12">
        <f>E80/Combined_Summary!$B$23</f>
        <v>1282.88661641812</v>
      </c>
      <c r="H80" s="12">
        <f>F80/Combined_Summary!$B$23</f>
        <v>1396.1476703608801</v>
      </c>
      <c r="I80" s="12">
        <f t="shared" si="2"/>
        <v>113.2610539427601</v>
      </c>
      <c r="J80" s="13">
        <f t="shared" si="3"/>
        <v>8.8286098313965042E-2</v>
      </c>
    </row>
    <row r="81" spans="1:10" x14ac:dyDescent="0.35">
      <c r="A81" s="3">
        <v>11969</v>
      </c>
      <c r="B81" s="3">
        <v>223903</v>
      </c>
      <c r="C81" s="18">
        <v>780</v>
      </c>
      <c r="D81" s="18">
        <v>780</v>
      </c>
      <c r="E81" s="19">
        <v>331.02793973775999</v>
      </c>
      <c r="F81" s="19">
        <v>356.57367086165999</v>
      </c>
      <c r="G81" s="12">
        <f>E81/Combined_Summary!$B$23</f>
        <v>1324.11175895104</v>
      </c>
      <c r="H81" s="12">
        <f>F81/Combined_Summary!$B$23</f>
        <v>1426.29468344664</v>
      </c>
      <c r="I81" s="12">
        <f t="shared" si="2"/>
        <v>102.18292449559999</v>
      </c>
      <c r="J81" s="13">
        <f t="shared" si="3"/>
        <v>7.7170921415688654E-2</v>
      </c>
    </row>
    <row r="82" spans="1:10" x14ac:dyDescent="0.35">
      <c r="A82" s="3">
        <v>11981</v>
      </c>
      <c r="B82" s="3">
        <v>224089</v>
      </c>
      <c r="C82" s="18">
        <v>490</v>
      </c>
      <c r="D82" s="18">
        <v>490</v>
      </c>
      <c r="E82" s="19">
        <v>327.77357825454402</v>
      </c>
      <c r="F82" s="19">
        <v>361.43312879289903</v>
      </c>
      <c r="G82" s="12">
        <f>E82/Combined_Summary!$B$23</f>
        <v>1311.0943130181761</v>
      </c>
      <c r="H82" s="12">
        <f>F82/Combined_Summary!$B$23</f>
        <v>1445.7325151715961</v>
      </c>
      <c r="I82" s="12">
        <f t="shared" si="2"/>
        <v>134.63820215342002</v>
      </c>
      <c r="J82" s="13">
        <f t="shared" si="3"/>
        <v>0.10269146987868408</v>
      </c>
    </row>
    <row r="83" spans="1:10" x14ac:dyDescent="0.35">
      <c r="A83" s="3">
        <v>11982</v>
      </c>
      <c r="B83" s="3">
        <v>230617</v>
      </c>
      <c r="C83" s="18">
        <v>211</v>
      </c>
      <c r="D83" s="18">
        <v>211</v>
      </c>
      <c r="E83" s="19">
        <v>344.62732786928899</v>
      </c>
      <c r="F83" s="19">
        <v>371.22256093680602</v>
      </c>
      <c r="G83" s="12">
        <f>E83/Combined_Summary!$B$23</f>
        <v>1378.509311477156</v>
      </c>
      <c r="H83" s="12">
        <f>F83/Combined_Summary!$B$23</f>
        <v>1484.8902437472241</v>
      </c>
      <c r="I83" s="12">
        <f t="shared" si="2"/>
        <v>106.38093227006812</v>
      </c>
      <c r="J83" s="13">
        <f t="shared" si="3"/>
        <v>7.7170992886565648E-2</v>
      </c>
    </row>
    <row r="84" spans="1:10" x14ac:dyDescent="0.35">
      <c r="A84" s="3">
        <v>11983</v>
      </c>
      <c r="B84" s="3">
        <v>232125</v>
      </c>
      <c r="C84" s="18">
        <v>505</v>
      </c>
      <c r="D84" s="18">
        <v>505</v>
      </c>
      <c r="E84" s="19">
        <v>347.82351572773302</v>
      </c>
      <c r="F84" s="19">
        <v>375.05675511124099</v>
      </c>
      <c r="G84" s="12">
        <f>E84/Combined_Summary!$B$23</f>
        <v>1391.2940629109321</v>
      </c>
      <c r="H84" s="12">
        <f>F84/Combined_Summary!$B$23</f>
        <v>1500.227020444964</v>
      </c>
      <c r="I84" s="12">
        <f t="shared" si="2"/>
        <v>108.93295753403186</v>
      </c>
      <c r="J84" s="13">
        <f t="shared" si="3"/>
        <v>7.829614201480678E-2</v>
      </c>
    </row>
    <row r="85" spans="1:10" x14ac:dyDescent="0.35">
      <c r="A85" s="3">
        <v>11984</v>
      </c>
      <c r="B85" s="3">
        <v>232109</v>
      </c>
      <c r="C85" s="18">
        <v>774</v>
      </c>
      <c r="D85" s="18">
        <v>774</v>
      </c>
      <c r="E85" s="19">
        <v>334.97925729283401</v>
      </c>
      <c r="F85" s="19">
        <v>356.292020871658</v>
      </c>
      <c r="G85" s="12">
        <f>E85/Combined_Summary!$B$23</f>
        <v>1339.917029171336</v>
      </c>
      <c r="H85" s="12">
        <f>F85/Combined_Summary!$B$23</f>
        <v>1425.168083486632</v>
      </c>
      <c r="I85" s="12">
        <f t="shared" si="2"/>
        <v>85.25105431529596</v>
      </c>
      <c r="J85" s="13">
        <f t="shared" si="3"/>
        <v>6.3624129300020149E-2</v>
      </c>
    </row>
    <row r="86" spans="1:10" x14ac:dyDescent="0.35">
      <c r="A86" s="3">
        <v>11985</v>
      </c>
      <c r="B86" s="3">
        <v>224007</v>
      </c>
      <c r="C86" s="18">
        <v>799</v>
      </c>
      <c r="D86" s="18">
        <v>799</v>
      </c>
      <c r="E86" s="19">
        <v>331.05640567497898</v>
      </c>
      <c r="F86" s="19">
        <v>353.68761622652102</v>
      </c>
      <c r="G86" s="12">
        <f>E86/Combined_Summary!$B$23</f>
        <v>1324.2256226999159</v>
      </c>
      <c r="H86" s="12">
        <f>F86/Combined_Summary!$B$23</f>
        <v>1414.7504649060841</v>
      </c>
      <c r="I86" s="12">
        <f t="shared" si="2"/>
        <v>90.524842206168159</v>
      </c>
      <c r="J86" s="13">
        <f t="shared" si="3"/>
        <v>6.8360587995269506E-2</v>
      </c>
    </row>
    <row r="87" spans="1:10" x14ac:dyDescent="0.35">
      <c r="A87" s="3">
        <v>11986</v>
      </c>
      <c r="B87" s="3">
        <v>232108</v>
      </c>
      <c r="C87" s="18">
        <v>866</v>
      </c>
      <c r="D87" s="18">
        <v>866</v>
      </c>
      <c r="E87" s="19">
        <v>333.39634692255999</v>
      </c>
      <c r="F87" s="19">
        <v>363.148467189445</v>
      </c>
      <c r="G87" s="12">
        <f>E87/Combined_Summary!$B$23</f>
        <v>1333.5853876902399</v>
      </c>
      <c r="H87" s="12">
        <f>F87/Combined_Summary!$B$23</f>
        <v>1452.59386875778</v>
      </c>
      <c r="I87" s="12">
        <f t="shared" si="2"/>
        <v>119.00848106754006</v>
      </c>
      <c r="J87" s="13">
        <f t="shared" si="3"/>
        <v>8.9239490898788174E-2</v>
      </c>
    </row>
    <row r="88" spans="1:10" x14ac:dyDescent="0.35">
      <c r="A88" s="3">
        <v>11999</v>
      </c>
      <c r="B88" s="3">
        <v>224052</v>
      </c>
      <c r="C88" s="18">
        <v>668</v>
      </c>
      <c r="D88" s="18">
        <v>668</v>
      </c>
      <c r="E88" s="19">
        <v>337.29198540327798</v>
      </c>
      <c r="F88" s="19">
        <v>361.87198785108001</v>
      </c>
      <c r="G88" s="12">
        <f>E88/Combined_Summary!$B$23</f>
        <v>1349.1679416131119</v>
      </c>
      <c r="H88" s="12">
        <f>F88/Combined_Summary!$B$23</f>
        <v>1447.48795140432</v>
      </c>
      <c r="I88" s="12">
        <f t="shared" si="2"/>
        <v>98.320009791208122</v>
      </c>
      <c r="J88" s="13">
        <f t="shared" si="3"/>
        <v>7.2874552350875837E-2</v>
      </c>
    </row>
    <row r="89" spans="1:10" x14ac:dyDescent="0.35">
      <c r="A89" s="3">
        <v>12000</v>
      </c>
      <c r="B89" s="3">
        <v>223983</v>
      </c>
      <c r="C89" s="18">
        <v>679</v>
      </c>
      <c r="D89" s="18">
        <v>679</v>
      </c>
      <c r="E89" s="19">
        <v>320.773950545883</v>
      </c>
      <c r="F89" s="19">
        <v>349.93026245746398</v>
      </c>
      <c r="G89" s="12">
        <f>E89/Combined_Summary!$B$23</f>
        <v>1283.095802183532</v>
      </c>
      <c r="H89" s="12">
        <f>F89/Combined_Summary!$B$23</f>
        <v>1399.7210498298559</v>
      </c>
      <c r="I89" s="12">
        <f t="shared" si="2"/>
        <v>116.62524764632394</v>
      </c>
      <c r="J89" s="13">
        <f t="shared" si="3"/>
        <v>9.0893639779550964E-2</v>
      </c>
    </row>
    <row r="90" spans="1:10" x14ac:dyDescent="0.35">
      <c r="A90" s="3">
        <v>12001</v>
      </c>
      <c r="B90" s="3">
        <v>224008</v>
      </c>
      <c r="C90" s="18">
        <v>565</v>
      </c>
      <c r="D90" s="18">
        <v>565</v>
      </c>
      <c r="E90" s="19">
        <v>335.14849892675397</v>
      </c>
      <c r="F90" s="19">
        <v>362.94087887654302</v>
      </c>
      <c r="G90" s="12">
        <f>E90/Combined_Summary!$B$23</f>
        <v>1340.5939957070159</v>
      </c>
      <c r="H90" s="12">
        <f>F90/Combined_Summary!$B$23</f>
        <v>1451.7635155061721</v>
      </c>
      <c r="I90" s="12">
        <f t="shared" si="2"/>
        <v>111.16951979915621</v>
      </c>
      <c r="J90" s="13">
        <f t="shared" si="3"/>
        <v>8.2925568930753354E-2</v>
      </c>
    </row>
    <row r="91" spans="1:10" x14ac:dyDescent="0.35">
      <c r="A91" s="3">
        <v>12011</v>
      </c>
      <c r="B91" s="3">
        <v>224085</v>
      </c>
      <c r="C91" s="18">
        <v>704</v>
      </c>
      <c r="D91" s="18">
        <v>704</v>
      </c>
      <c r="E91" s="19">
        <v>325.01253331249399</v>
      </c>
      <c r="F91" s="19">
        <v>350.11650200323601</v>
      </c>
      <c r="G91" s="12">
        <f>E91/Combined_Summary!$B$23</f>
        <v>1300.0501332499759</v>
      </c>
      <c r="H91" s="12">
        <f>F91/Combined_Summary!$B$23</f>
        <v>1400.466008012944</v>
      </c>
      <c r="I91" s="12">
        <f t="shared" si="2"/>
        <v>100.41587476296809</v>
      </c>
      <c r="J91" s="13">
        <f t="shared" si="3"/>
        <v>7.7240001900495903E-2</v>
      </c>
    </row>
    <row r="92" spans="1:10" x14ac:dyDescent="0.35">
      <c r="A92" s="3">
        <v>12022</v>
      </c>
      <c r="B92" s="3">
        <v>646340</v>
      </c>
      <c r="C92" s="18">
        <v>16</v>
      </c>
      <c r="D92" s="18">
        <v>16</v>
      </c>
      <c r="E92" s="19">
        <v>246.73597621917699</v>
      </c>
      <c r="F92" s="19">
        <v>298.92015647888201</v>
      </c>
      <c r="G92" s="12">
        <f>E92/Combined_Summary!$B$23</f>
        <v>986.94390487670796</v>
      </c>
      <c r="H92" s="12">
        <f>F92/Combined_Summary!$B$23</f>
        <v>1195.680625915528</v>
      </c>
      <c r="I92" s="12">
        <f t="shared" si="2"/>
        <v>208.73672103882006</v>
      </c>
      <c r="J92" s="13">
        <f t="shared" si="3"/>
        <v>0.21149805982630401</v>
      </c>
    </row>
    <row r="93" spans="1:10" x14ac:dyDescent="0.35">
      <c r="A93" s="3">
        <v>12023</v>
      </c>
      <c r="B93" s="3">
        <v>224193</v>
      </c>
      <c r="C93" s="18">
        <v>771</v>
      </c>
      <c r="D93" s="18">
        <v>771</v>
      </c>
      <c r="E93" s="19">
        <v>329.37083003122098</v>
      </c>
      <c r="F93" s="19">
        <v>355.66148155796202</v>
      </c>
      <c r="G93" s="12">
        <f>E93/Combined_Summary!$B$23</f>
        <v>1317.4833201248839</v>
      </c>
      <c r="H93" s="12">
        <f>F93/Combined_Summary!$B$23</f>
        <v>1422.6459262318481</v>
      </c>
      <c r="I93" s="12">
        <f t="shared" si="2"/>
        <v>105.16260610696418</v>
      </c>
      <c r="J93" s="13">
        <f t="shared" si="3"/>
        <v>7.9820825433293413E-2</v>
      </c>
    </row>
    <row r="94" spans="1:10" x14ac:dyDescent="0.35">
      <c r="A94" s="3">
        <v>12024</v>
      </c>
      <c r="B94" s="3">
        <v>224191</v>
      </c>
      <c r="C94" s="18">
        <v>588</v>
      </c>
      <c r="D94" s="18">
        <v>588</v>
      </c>
      <c r="E94" s="19">
        <v>334.40928921732001</v>
      </c>
      <c r="F94" s="19">
        <v>358.77961136694699</v>
      </c>
      <c r="G94" s="12">
        <f>E94/Combined_Summary!$B$23</f>
        <v>1337.63715686928</v>
      </c>
      <c r="H94" s="12">
        <f>F94/Combined_Summary!$B$23</f>
        <v>1435.118445467788</v>
      </c>
      <c r="I94" s="12">
        <f t="shared" si="2"/>
        <v>97.481288598507945</v>
      </c>
      <c r="J94" s="13">
        <f t="shared" si="3"/>
        <v>7.2875733226984707E-2</v>
      </c>
    </row>
    <row r="95" spans="1:10" x14ac:dyDescent="0.35">
      <c r="A95" s="3">
        <v>12033</v>
      </c>
      <c r="B95" s="3">
        <v>223958</v>
      </c>
      <c r="C95" s="18">
        <v>944</v>
      </c>
      <c r="D95" s="18">
        <v>944</v>
      </c>
      <c r="E95" s="19">
        <v>294.681591926995</v>
      </c>
      <c r="F95" s="19">
        <v>324.73209172588298</v>
      </c>
      <c r="G95" s="12">
        <f>E95/Combined_Summary!$B$23</f>
        <v>1178.72636770798</v>
      </c>
      <c r="H95" s="12">
        <f>F95/Combined_Summary!$B$23</f>
        <v>1298.9283669035319</v>
      </c>
      <c r="I95" s="12">
        <f t="shared" si="2"/>
        <v>120.20199919555193</v>
      </c>
      <c r="J95" s="13">
        <f t="shared" si="3"/>
        <v>0.10197616892993015</v>
      </c>
    </row>
    <row r="96" spans="1:10" x14ac:dyDescent="0.35">
      <c r="A96" s="3">
        <v>12034</v>
      </c>
      <c r="B96" s="3">
        <v>223957</v>
      </c>
      <c r="C96" s="18">
        <v>528</v>
      </c>
      <c r="D96" s="18">
        <v>528</v>
      </c>
      <c r="E96" s="19">
        <v>258.36159686608801</v>
      </c>
      <c r="F96" s="19">
        <v>306.17371196457799</v>
      </c>
      <c r="G96" s="12">
        <f>E96/Combined_Summary!$B$23</f>
        <v>1033.446387464352</v>
      </c>
      <c r="H96" s="12">
        <f>F96/Combined_Summary!$B$23</f>
        <v>1224.694847858312</v>
      </c>
      <c r="I96" s="12">
        <f t="shared" si="2"/>
        <v>191.24846039395993</v>
      </c>
      <c r="J96" s="13">
        <f t="shared" si="3"/>
        <v>0.18505890843859271</v>
      </c>
    </row>
    <row r="97" spans="1:10" x14ac:dyDescent="0.35">
      <c r="A97" s="3">
        <v>12041</v>
      </c>
      <c r="B97" s="3">
        <v>453806</v>
      </c>
      <c r="C97" s="18">
        <v>250</v>
      </c>
      <c r="D97" s="18">
        <v>250</v>
      </c>
      <c r="E97" s="19">
        <v>282.886790802002</v>
      </c>
      <c r="F97" s="19">
        <v>330.42735736084001</v>
      </c>
      <c r="G97" s="12">
        <f>E97/Combined_Summary!$B$23</f>
        <v>1131.547163208008</v>
      </c>
      <c r="H97" s="12">
        <f>F97/Combined_Summary!$B$23</f>
        <v>1321.70942944336</v>
      </c>
      <c r="I97" s="12">
        <f t="shared" si="2"/>
        <v>190.16226623535204</v>
      </c>
      <c r="J97" s="13">
        <f t="shared" si="3"/>
        <v>0.16805509519924025</v>
      </c>
    </row>
    <row r="98" spans="1:10" x14ac:dyDescent="0.35">
      <c r="A98" s="3">
        <v>12042</v>
      </c>
      <c r="B98" s="3">
        <v>224167</v>
      </c>
      <c r="C98" s="18">
        <v>963</v>
      </c>
      <c r="D98" s="18">
        <v>963</v>
      </c>
      <c r="E98" s="19">
        <v>318.58015776621301</v>
      </c>
      <c r="F98" s="19">
        <v>343.87794627727402</v>
      </c>
      <c r="G98" s="12">
        <f>E98/Combined_Summary!$B$23</f>
        <v>1274.320631064852</v>
      </c>
      <c r="H98" s="12">
        <f>F98/Combined_Summary!$B$23</f>
        <v>1375.5117851090961</v>
      </c>
      <c r="I98" s="12">
        <f t="shared" si="2"/>
        <v>101.19115404424406</v>
      </c>
      <c r="J98" s="13">
        <f t="shared" si="3"/>
        <v>7.9407922603973197E-2</v>
      </c>
    </row>
    <row r="99" spans="1:10" x14ac:dyDescent="0.35">
      <c r="A99" s="3">
        <v>12043</v>
      </c>
      <c r="B99" s="3">
        <v>223977</v>
      </c>
      <c r="C99" s="18">
        <v>1128</v>
      </c>
      <c r="D99" s="18">
        <v>1128</v>
      </c>
      <c r="E99" s="19">
        <v>190.57501009001001</v>
      </c>
      <c r="F99" s="19">
        <v>238.932310645462</v>
      </c>
      <c r="G99" s="12">
        <f>E99/Combined_Summary!$B$23</f>
        <v>762.30004036004004</v>
      </c>
      <c r="H99" s="12">
        <f>F99/Combined_Summary!$B$23</f>
        <v>955.72924258184798</v>
      </c>
      <c r="I99" s="12">
        <f t="shared" si="2"/>
        <v>193.42920222180794</v>
      </c>
      <c r="J99" s="13">
        <f t="shared" si="3"/>
        <v>0.25374418467884363</v>
      </c>
    </row>
    <row r="100" spans="1:10" x14ac:dyDescent="0.35">
      <c r="A100" s="3">
        <v>12052</v>
      </c>
      <c r="B100" s="3">
        <v>224271</v>
      </c>
      <c r="C100" s="18">
        <v>1013</v>
      </c>
      <c r="D100" s="18">
        <v>1013</v>
      </c>
      <c r="E100" s="19">
        <v>355.69673199291202</v>
      </c>
      <c r="F100" s="19">
        <v>385.586333746501</v>
      </c>
      <c r="G100" s="12">
        <f>E100/Combined_Summary!$B$23</f>
        <v>1422.7869279716481</v>
      </c>
      <c r="H100" s="12">
        <f>F100/Combined_Summary!$B$23</f>
        <v>1542.345334986004</v>
      </c>
      <c r="I100" s="12">
        <f t="shared" si="2"/>
        <v>119.55840701435591</v>
      </c>
      <c r="J100" s="13">
        <f t="shared" si="3"/>
        <v>8.4031139634379845E-2</v>
      </c>
    </row>
    <row r="101" spans="1:10" x14ac:dyDescent="0.35">
      <c r="A101" s="3">
        <v>12053</v>
      </c>
      <c r="B101" s="3">
        <v>224282</v>
      </c>
      <c r="C101" s="18">
        <v>456</v>
      </c>
      <c r="D101" s="18">
        <v>456</v>
      </c>
      <c r="E101" s="19">
        <v>213.81954558690401</v>
      </c>
      <c r="F101" s="19">
        <v>260.57821653600303</v>
      </c>
      <c r="G101" s="12">
        <f>E101/Combined_Summary!$B$23</f>
        <v>855.27818234761605</v>
      </c>
      <c r="H101" s="12">
        <f>F101/Combined_Summary!$B$23</f>
        <v>1042.3128661440121</v>
      </c>
      <c r="I101" s="12">
        <f t="shared" si="2"/>
        <v>187.03468379639605</v>
      </c>
      <c r="J101" s="13">
        <f t="shared" si="3"/>
        <v>0.21868286559469183</v>
      </c>
    </row>
    <row r="102" spans="1:10" x14ac:dyDescent="0.35">
      <c r="A102" s="3">
        <v>12054</v>
      </c>
      <c r="B102" s="3">
        <v>224161</v>
      </c>
      <c r="C102" s="18">
        <v>585</v>
      </c>
      <c r="D102" s="18">
        <v>585</v>
      </c>
      <c r="E102" s="19">
        <v>302.48027672400798</v>
      </c>
      <c r="F102" s="19">
        <v>336.64627036070198</v>
      </c>
      <c r="G102" s="12">
        <f>E102/Combined_Summary!$B$23</f>
        <v>1209.9211068960319</v>
      </c>
      <c r="H102" s="12">
        <f>F102/Combined_Summary!$B$23</f>
        <v>1346.5850814428079</v>
      </c>
      <c r="I102" s="12">
        <f t="shared" si="2"/>
        <v>136.66397454677599</v>
      </c>
      <c r="J102" s="13">
        <f t="shared" si="3"/>
        <v>0.11295279813522542</v>
      </c>
    </row>
    <row r="103" spans="1:10" x14ac:dyDescent="0.35">
      <c r="A103" s="3">
        <v>12055</v>
      </c>
      <c r="B103" s="3">
        <v>224162</v>
      </c>
      <c r="C103" s="18">
        <v>568</v>
      </c>
      <c r="D103" s="18">
        <v>568</v>
      </c>
      <c r="E103" s="19">
        <v>222.96569250671001</v>
      </c>
      <c r="F103" s="19">
        <v>274.41236751180298</v>
      </c>
      <c r="G103" s="12">
        <f>E103/Combined_Summary!$B$23</f>
        <v>891.86277002684005</v>
      </c>
      <c r="H103" s="12">
        <f>F103/Combined_Summary!$B$23</f>
        <v>1097.6494700472119</v>
      </c>
      <c r="I103" s="12">
        <f t="shared" si="2"/>
        <v>205.78670002037188</v>
      </c>
      <c r="J103" s="13">
        <f t="shared" si="3"/>
        <v>0.23073807645786007</v>
      </c>
    </row>
    <row r="104" spans="1:10" x14ac:dyDescent="0.35">
      <c r="A104" s="3">
        <v>12056</v>
      </c>
      <c r="B104" s="3">
        <v>230624</v>
      </c>
      <c r="C104" s="18">
        <v>339</v>
      </c>
      <c r="D104" s="18">
        <v>339</v>
      </c>
      <c r="E104" s="19">
        <v>234.21761345652399</v>
      </c>
      <c r="F104" s="19">
        <v>276.10813082354599</v>
      </c>
      <c r="G104" s="12">
        <f>E104/Combined_Summary!$B$23</f>
        <v>936.87045382609597</v>
      </c>
      <c r="H104" s="12">
        <f>F104/Combined_Summary!$B$23</f>
        <v>1104.432523294184</v>
      </c>
      <c r="I104" s="12">
        <f t="shared" si="2"/>
        <v>167.562069468088</v>
      </c>
      <c r="J104" s="13">
        <f t="shared" si="3"/>
        <v>0.17885297672029185</v>
      </c>
    </row>
    <row r="105" spans="1:10" x14ac:dyDescent="0.35">
      <c r="A105" s="3">
        <v>12064</v>
      </c>
      <c r="B105" s="3">
        <v>224110</v>
      </c>
      <c r="C105" s="18">
        <v>1145</v>
      </c>
      <c r="D105" s="18">
        <v>1145</v>
      </c>
      <c r="E105" s="19">
        <v>325.56561131040098</v>
      </c>
      <c r="F105" s="19">
        <v>348.01536625358199</v>
      </c>
      <c r="G105" s="12">
        <f>E105/Combined_Summary!$B$23</f>
        <v>1302.2624452416039</v>
      </c>
      <c r="H105" s="12">
        <f>F105/Combined_Summary!$B$23</f>
        <v>1392.061465014328</v>
      </c>
      <c r="I105" s="12">
        <f t="shared" si="2"/>
        <v>89.799019772724023</v>
      </c>
      <c r="J105" s="13">
        <f t="shared" si="3"/>
        <v>6.8956161717513051E-2</v>
      </c>
    </row>
    <row r="106" spans="1:10" x14ac:dyDescent="0.35">
      <c r="A106" s="3">
        <v>12067</v>
      </c>
      <c r="B106" s="3">
        <v>224184</v>
      </c>
      <c r="C106" s="18">
        <v>1061</v>
      </c>
      <c r="D106" s="18">
        <v>1061</v>
      </c>
      <c r="E106" s="19">
        <v>331.75519254722201</v>
      </c>
      <c r="F106" s="19">
        <v>360.38523102525699</v>
      </c>
      <c r="G106" s="12">
        <f>E106/Combined_Summary!$B$23</f>
        <v>1327.020770188888</v>
      </c>
      <c r="H106" s="12">
        <f>F106/Combined_Summary!$B$23</f>
        <v>1441.5409241010279</v>
      </c>
      <c r="I106" s="12">
        <f t="shared" si="2"/>
        <v>114.5201539121399</v>
      </c>
      <c r="J106" s="13">
        <f t="shared" si="3"/>
        <v>8.6298689880972335E-2</v>
      </c>
    </row>
    <row r="107" spans="1:10" x14ac:dyDescent="0.35">
      <c r="A107" s="3">
        <v>12068</v>
      </c>
      <c r="B107" s="3">
        <v>649948</v>
      </c>
      <c r="C107" s="18">
        <v>16</v>
      </c>
      <c r="D107" s="18">
        <v>16</v>
      </c>
      <c r="E107" s="19">
        <v>353.44135475158703</v>
      </c>
      <c r="F107" s="19">
        <v>384.42436408996599</v>
      </c>
      <c r="G107" s="12">
        <f>E107/Combined_Summary!$B$23</f>
        <v>1413.7654190063481</v>
      </c>
      <c r="H107" s="12">
        <f>F107/Combined_Summary!$B$23</f>
        <v>1537.697456359864</v>
      </c>
      <c r="I107" s="12">
        <f t="shared" si="2"/>
        <v>123.93203735351585</v>
      </c>
      <c r="J107" s="13">
        <f t="shared" si="3"/>
        <v>8.7660962481753396E-2</v>
      </c>
    </row>
    <row r="108" spans="1:10" x14ac:dyDescent="0.35">
      <c r="A108" s="3">
        <v>12069</v>
      </c>
      <c r="B108" s="3">
        <v>224055</v>
      </c>
      <c r="C108" s="18">
        <v>1186</v>
      </c>
      <c r="D108" s="18">
        <v>1186</v>
      </c>
      <c r="E108" s="19">
        <v>317.21262455469002</v>
      </c>
      <c r="F108" s="19">
        <v>343.52025842907898</v>
      </c>
      <c r="G108" s="12">
        <f>E108/Combined_Summary!$B$23</f>
        <v>1268.8504982187601</v>
      </c>
      <c r="H108" s="12">
        <f>F108/Combined_Summary!$B$23</f>
        <v>1374.0810337163159</v>
      </c>
      <c r="I108" s="12">
        <f t="shared" si="2"/>
        <v>105.23053549755582</v>
      </c>
      <c r="J108" s="13">
        <f t="shared" si="3"/>
        <v>8.2933754327464693E-2</v>
      </c>
    </row>
    <row r="109" spans="1:10" x14ac:dyDescent="0.35">
      <c r="A109" s="3">
        <v>12070</v>
      </c>
      <c r="B109" s="3">
        <v>223985</v>
      </c>
      <c r="C109" s="18">
        <v>777</v>
      </c>
      <c r="D109" s="18">
        <v>777</v>
      </c>
      <c r="E109" s="19">
        <v>247.58534691907599</v>
      </c>
      <c r="F109" s="19">
        <v>285.89672383194301</v>
      </c>
      <c r="G109" s="12">
        <f>E109/Combined_Summary!$B$23</f>
        <v>990.34138767630395</v>
      </c>
      <c r="H109" s="12">
        <f>F109/Combined_Summary!$B$23</f>
        <v>1143.586895327772</v>
      </c>
      <c r="I109" s="12">
        <f t="shared" si="2"/>
        <v>153.24550765146807</v>
      </c>
      <c r="J109" s="13">
        <f t="shared" si="3"/>
        <v>0.15474008211555915</v>
      </c>
    </row>
    <row r="110" spans="1:10" x14ac:dyDescent="0.35">
      <c r="A110" s="3">
        <v>12071</v>
      </c>
      <c r="B110" s="3">
        <v>224171</v>
      </c>
      <c r="C110" s="18">
        <v>644</v>
      </c>
      <c r="D110" s="18">
        <v>644</v>
      </c>
      <c r="E110" s="19">
        <v>243.79863239075101</v>
      </c>
      <c r="F110" s="19">
        <v>282.84114899250301</v>
      </c>
      <c r="G110" s="12">
        <f>E110/Combined_Summary!$B$23</f>
        <v>975.19452956300404</v>
      </c>
      <c r="H110" s="12">
        <f>F110/Combined_Summary!$B$23</f>
        <v>1131.364595970012</v>
      </c>
      <c r="I110" s="12">
        <f t="shared" si="2"/>
        <v>156.17006640700799</v>
      </c>
      <c r="J110" s="13">
        <f t="shared" si="3"/>
        <v>0.16014247585760105</v>
      </c>
    </row>
    <row r="111" spans="1:10" x14ac:dyDescent="0.35">
      <c r="A111" s="3">
        <v>12109</v>
      </c>
      <c r="B111" s="3">
        <v>224204</v>
      </c>
      <c r="C111" s="18">
        <v>657</v>
      </c>
      <c r="D111" s="18">
        <v>657</v>
      </c>
      <c r="E111" s="19">
        <v>336.56130673714802</v>
      </c>
      <c r="F111" s="19">
        <v>361.25956626207</v>
      </c>
      <c r="G111" s="12">
        <f>E111/Combined_Summary!$B$23</f>
        <v>1346.2452269485921</v>
      </c>
      <c r="H111" s="12">
        <f>F111/Combined_Summary!$B$23</f>
        <v>1445.03826504828</v>
      </c>
      <c r="I111" s="12">
        <f t="shared" si="2"/>
        <v>98.793038099687919</v>
      </c>
      <c r="J111" s="13">
        <f t="shared" si="3"/>
        <v>7.3384132490937656E-2</v>
      </c>
    </row>
    <row r="112" spans="1:10" x14ac:dyDescent="0.35">
      <c r="A112" s="3">
        <v>12110</v>
      </c>
      <c r="B112" s="3">
        <v>224175</v>
      </c>
      <c r="C112" s="18">
        <v>660</v>
      </c>
      <c r="D112" s="18">
        <v>660</v>
      </c>
      <c r="E112" s="19">
        <v>289.55051770065802</v>
      </c>
      <c r="F112" s="19">
        <v>335.38971985325702</v>
      </c>
      <c r="G112" s="12">
        <f>E112/Combined_Summary!$B$23</f>
        <v>1158.2020708026321</v>
      </c>
      <c r="H112" s="12">
        <f>F112/Combined_Summary!$B$23</f>
        <v>1341.5588794130281</v>
      </c>
      <c r="I112" s="12">
        <f t="shared" si="2"/>
        <v>183.356808610396</v>
      </c>
      <c r="J112" s="13">
        <f t="shared" si="3"/>
        <v>0.15831158761728861</v>
      </c>
    </row>
    <row r="113" spans="1:10" x14ac:dyDescent="0.35">
      <c r="A113" s="3">
        <v>12121</v>
      </c>
      <c r="B113" s="3">
        <v>224370</v>
      </c>
      <c r="C113" s="18">
        <v>666</v>
      </c>
      <c r="D113" s="18">
        <v>666</v>
      </c>
      <c r="E113" s="19">
        <v>272.48031554351002</v>
      </c>
      <c r="F113" s="19">
        <v>308.91454079201299</v>
      </c>
      <c r="G113" s="12">
        <f>E113/Combined_Summary!$B$23</f>
        <v>1089.9212621740401</v>
      </c>
      <c r="H113" s="12">
        <f>F113/Combined_Summary!$B$23</f>
        <v>1235.6581631680519</v>
      </c>
      <c r="I113" s="12">
        <f t="shared" si="2"/>
        <v>145.73690099401188</v>
      </c>
      <c r="J113" s="13">
        <f t="shared" si="3"/>
        <v>0.13371323787492129</v>
      </c>
    </row>
    <row r="114" spans="1:10" x14ac:dyDescent="0.35">
      <c r="A114" s="3">
        <v>16600</v>
      </c>
      <c r="B114" s="3">
        <v>224043</v>
      </c>
      <c r="C114" s="18">
        <v>810</v>
      </c>
      <c r="D114" s="18">
        <v>810</v>
      </c>
      <c r="E114" s="19">
        <v>346.18309397756298</v>
      </c>
      <c r="F114" s="19">
        <v>367.30749946876801</v>
      </c>
      <c r="G114" s="12">
        <f>E114/Combined_Summary!$B$23</f>
        <v>1384.7323759102519</v>
      </c>
      <c r="H114" s="12">
        <f>F114/Combined_Summary!$B$23</f>
        <v>1469.2299978750721</v>
      </c>
      <c r="I114" s="12">
        <f t="shared" si="2"/>
        <v>84.497621964820155</v>
      </c>
      <c r="J114" s="13">
        <f t="shared" si="3"/>
        <v>6.102090442514263E-2</v>
      </c>
    </row>
    <row r="115" spans="1:10" x14ac:dyDescent="0.35">
      <c r="A115" s="3">
        <v>16601</v>
      </c>
      <c r="B115" s="3">
        <v>224122</v>
      </c>
      <c r="C115" s="18">
        <v>566</v>
      </c>
      <c r="D115" s="18">
        <v>566</v>
      </c>
      <c r="E115" s="19">
        <v>349.36443148906199</v>
      </c>
      <c r="F115" s="19">
        <v>371.25883862660498</v>
      </c>
      <c r="G115" s="12">
        <f>E115/Combined_Summary!$B$23</f>
        <v>1397.4577259562479</v>
      </c>
      <c r="H115" s="12">
        <f>F115/Combined_Summary!$B$23</f>
        <v>1485.0353545064199</v>
      </c>
      <c r="I115" s="12">
        <f t="shared" si="2"/>
        <v>87.577628550171994</v>
      </c>
      <c r="J115" s="13">
        <f t="shared" si="3"/>
        <v>6.2669250685379166E-2</v>
      </c>
    </row>
    <row r="116" spans="1:10" x14ac:dyDescent="0.35">
      <c r="A116" s="3">
        <v>16602</v>
      </c>
      <c r="B116" s="3">
        <v>223904</v>
      </c>
      <c r="C116" s="18">
        <v>917</v>
      </c>
      <c r="D116" s="18">
        <v>917</v>
      </c>
      <c r="E116" s="19">
        <v>306.78994800896299</v>
      </c>
      <c r="F116" s="19">
        <v>329.77442579362997</v>
      </c>
      <c r="G116" s="12">
        <f>E116/Combined_Summary!$B$23</f>
        <v>1227.159792035852</v>
      </c>
      <c r="H116" s="12">
        <f>F116/Combined_Summary!$B$23</f>
        <v>1319.0977031745199</v>
      </c>
      <c r="I116" s="12">
        <f t="shared" si="2"/>
        <v>91.937911138667914</v>
      </c>
      <c r="J116" s="13">
        <f t="shared" si="3"/>
        <v>7.491926620749477E-2</v>
      </c>
    </row>
    <row r="117" spans="1:10" x14ac:dyDescent="0.35">
      <c r="A117" s="3">
        <v>16611</v>
      </c>
      <c r="B117" s="3">
        <v>593678</v>
      </c>
      <c r="C117" s="18">
        <v>16</v>
      </c>
      <c r="D117" s="18">
        <v>16</v>
      </c>
      <c r="E117" s="19">
        <v>320.335736751556</v>
      </c>
      <c r="F117" s="19">
        <v>358.30971527099598</v>
      </c>
      <c r="G117" s="12">
        <f>E117/Combined_Summary!$B$23</f>
        <v>1281.342947006224</v>
      </c>
      <c r="H117" s="12">
        <f>F117/Combined_Summary!$B$23</f>
        <v>1433.2388610839839</v>
      </c>
      <c r="I117" s="12">
        <f t="shared" si="2"/>
        <v>151.89591407775993</v>
      </c>
      <c r="J117" s="13">
        <f t="shared" si="3"/>
        <v>0.11854430886957706</v>
      </c>
    </row>
    <row r="118" spans="1:10" x14ac:dyDescent="0.35">
      <c r="A118" s="3">
        <v>16612</v>
      </c>
      <c r="B118" s="3">
        <v>232117</v>
      </c>
      <c r="C118" s="18">
        <v>575</v>
      </c>
      <c r="D118" s="18">
        <v>575</v>
      </c>
      <c r="E118" s="19">
        <v>334.574698871115</v>
      </c>
      <c r="F118" s="19">
        <v>364.41103656271201</v>
      </c>
      <c r="G118" s="12">
        <f>E118/Combined_Summary!$B$23</f>
        <v>1338.29879548446</v>
      </c>
      <c r="H118" s="12">
        <f>F118/Combined_Summary!$B$23</f>
        <v>1457.6441462508481</v>
      </c>
      <c r="I118" s="12">
        <f t="shared" si="2"/>
        <v>119.34535076638804</v>
      </c>
      <c r="J118" s="13">
        <f t="shared" si="3"/>
        <v>8.9176909647583888E-2</v>
      </c>
    </row>
    <row r="119" spans="1:10" x14ac:dyDescent="0.35">
      <c r="A119" s="3">
        <v>16624</v>
      </c>
      <c r="B119" s="3">
        <v>224099</v>
      </c>
      <c r="C119" s="18">
        <v>545</v>
      </c>
      <c r="D119" s="18">
        <v>545</v>
      </c>
      <c r="E119" s="19">
        <v>342.04620532814499</v>
      </c>
      <c r="F119" s="19">
        <v>370.61737712895098</v>
      </c>
      <c r="G119" s="12">
        <f>E119/Combined_Summary!$B$23</f>
        <v>1368.18482131258</v>
      </c>
      <c r="H119" s="12">
        <f>F119/Combined_Summary!$B$23</f>
        <v>1482.4695085158039</v>
      </c>
      <c r="I119" s="12">
        <f t="shared" si="2"/>
        <v>114.28468720322394</v>
      </c>
      <c r="J119" s="13">
        <f t="shared" si="3"/>
        <v>8.3530152814868919E-2</v>
      </c>
    </row>
    <row r="120" spans="1:10" x14ac:dyDescent="0.35">
      <c r="A120" s="3">
        <v>16625</v>
      </c>
      <c r="B120" s="3">
        <v>224042</v>
      </c>
      <c r="C120" s="18">
        <v>718</v>
      </c>
      <c r="D120" s="18">
        <v>718</v>
      </c>
      <c r="E120" s="19">
        <v>321.91458008216301</v>
      </c>
      <c r="F120" s="19">
        <v>355.89672582727297</v>
      </c>
      <c r="G120" s="12">
        <f>E120/Combined_Summary!$B$23</f>
        <v>1287.6583203286521</v>
      </c>
      <c r="H120" s="12">
        <f>F120/Combined_Summary!$B$23</f>
        <v>1423.5869033090919</v>
      </c>
      <c r="I120" s="12">
        <f t="shared" si="2"/>
        <v>135.92858298043984</v>
      </c>
      <c r="J120" s="13">
        <f t="shared" si="3"/>
        <v>0.10556261768707903</v>
      </c>
    </row>
    <row r="121" spans="1:10" x14ac:dyDescent="0.35">
      <c r="A121" s="3">
        <v>16645</v>
      </c>
      <c r="B121" s="3">
        <v>224190</v>
      </c>
      <c r="C121" s="18">
        <v>666</v>
      </c>
      <c r="D121" s="18">
        <v>666</v>
      </c>
      <c r="E121" s="19">
        <v>308.10297852020699</v>
      </c>
      <c r="F121" s="19">
        <v>337.598088089768</v>
      </c>
      <c r="G121" s="12">
        <f>E121/Combined_Summary!$B$23</f>
        <v>1232.411914080828</v>
      </c>
      <c r="H121" s="12">
        <f>F121/Combined_Summary!$B$23</f>
        <v>1350.392352359072</v>
      </c>
      <c r="I121" s="12">
        <f t="shared" si="2"/>
        <v>117.98043827824404</v>
      </c>
      <c r="J121" s="13">
        <f t="shared" si="3"/>
        <v>9.5731335384109467E-2</v>
      </c>
    </row>
    <row r="122" spans="1:10" x14ac:dyDescent="0.35">
      <c r="A122" s="3">
        <v>16657</v>
      </c>
      <c r="B122" s="3">
        <v>646341</v>
      </c>
      <c r="C122" s="18">
        <v>16</v>
      </c>
      <c r="D122" s="18">
        <v>16</v>
      </c>
      <c r="E122" s="19">
        <v>339.54914855957003</v>
      </c>
      <c r="F122" s="19">
        <v>352.20316886901901</v>
      </c>
      <c r="G122" s="12">
        <f>E122/Combined_Summary!$B$23</f>
        <v>1358.1965942382801</v>
      </c>
      <c r="H122" s="12">
        <f>F122/Combined_Summary!$B$23</f>
        <v>1408.812675476076</v>
      </c>
      <c r="I122" s="12">
        <f t="shared" si="2"/>
        <v>50.616081237795925</v>
      </c>
      <c r="J122" s="13">
        <f t="shared" si="3"/>
        <v>3.7267124253233044E-2</v>
      </c>
    </row>
    <row r="123" spans="1:10" x14ac:dyDescent="0.35">
      <c r="A123" s="3">
        <v>16658</v>
      </c>
      <c r="B123" s="3">
        <v>646339</v>
      </c>
      <c r="C123" s="18">
        <v>16</v>
      </c>
      <c r="D123" s="18">
        <v>16</v>
      </c>
      <c r="E123" s="19">
        <v>285.00935173034702</v>
      </c>
      <c r="F123" s="19">
        <v>319.935136795044</v>
      </c>
      <c r="G123" s="12">
        <f>E123/Combined_Summary!$B$23</f>
        <v>1140.0374069213881</v>
      </c>
      <c r="H123" s="12">
        <f>F123/Combined_Summary!$B$23</f>
        <v>1279.740547180176</v>
      </c>
      <c r="I123" s="12">
        <f t="shared" si="2"/>
        <v>139.70314025878793</v>
      </c>
      <c r="J123" s="13">
        <f t="shared" si="3"/>
        <v>0.12254259326108344</v>
      </c>
    </row>
    <row r="124" spans="1:10" x14ac:dyDescent="0.35">
      <c r="A124" s="3">
        <v>16659</v>
      </c>
      <c r="B124" s="3">
        <v>224045</v>
      </c>
      <c r="C124" s="18">
        <v>621</v>
      </c>
      <c r="D124" s="18">
        <v>621</v>
      </c>
      <c r="E124" s="19">
        <v>335.66469903230302</v>
      </c>
      <c r="F124" s="19">
        <v>365.223546149458</v>
      </c>
      <c r="G124" s="12">
        <f>E124/Combined_Summary!$B$23</f>
        <v>1342.6587961292121</v>
      </c>
      <c r="H124" s="12">
        <f>F124/Combined_Summary!$B$23</f>
        <v>1460.894184597832</v>
      </c>
      <c r="I124" s="12">
        <f t="shared" si="2"/>
        <v>118.23538846861993</v>
      </c>
      <c r="J124" s="13">
        <f t="shared" si="3"/>
        <v>8.8060636707914156E-2</v>
      </c>
    </row>
    <row r="125" spans="1:10" x14ac:dyDescent="0.35">
      <c r="A125" s="3">
        <v>16660</v>
      </c>
      <c r="B125" s="3">
        <v>224194</v>
      </c>
      <c r="C125" s="18">
        <v>669</v>
      </c>
      <c r="D125" s="18">
        <v>669</v>
      </c>
      <c r="E125" s="19">
        <v>343.27526749980098</v>
      </c>
      <c r="F125" s="19">
        <v>367.93760922920899</v>
      </c>
      <c r="G125" s="12">
        <f>E125/Combined_Summary!$B$23</f>
        <v>1373.1010699992039</v>
      </c>
      <c r="H125" s="12">
        <f>F125/Combined_Summary!$B$23</f>
        <v>1471.750436916836</v>
      </c>
      <c r="I125" s="12">
        <f t="shared" si="2"/>
        <v>98.649366917632051</v>
      </c>
      <c r="J125" s="13">
        <f t="shared" si="3"/>
        <v>7.1844213855058209E-2</v>
      </c>
    </row>
    <row r="126" spans="1:10" x14ac:dyDescent="0.35">
      <c r="A126" s="3">
        <v>16685</v>
      </c>
      <c r="B126" s="3">
        <v>232145</v>
      </c>
      <c r="C126" s="18">
        <v>834</v>
      </c>
      <c r="D126" s="18">
        <v>834</v>
      </c>
      <c r="E126" s="19">
        <v>334.91059056288901</v>
      </c>
      <c r="F126" s="19">
        <v>362.34133250650501</v>
      </c>
      <c r="G126" s="12">
        <f>E126/Combined_Summary!$B$23</f>
        <v>1339.6423622515561</v>
      </c>
      <c r="H126" s="12">
        <f>F126/Combined_Summary!$B$23</f>
        <v>1449.36533002602</v>
      </c>
      <c r="I126" s="12">
        <f t="shared" si="2"/>
        <v>109.722967774464</v>
      </c>
      <c r="J126" s="13">
        <f t="shared" si="3"/>
        <v>8.1904671624485684E-2</v>
      </c>
    </row>
    <row r="127" spans="1:10" x14ac:dyDescent="0.35">
      <c r="A127" s="3">
        <v>16686</v>
      </c>
      <c r="B127" s="3">
        <v>224316</v>
      </c>
      <c r="C127" s="18">
        <v>572</v>
      </c>
      <c r="D127" s="18">
        <v>572</v>
      </c>
      <c r="E127" s="19">
        <v>334.57229690951903</v>
      </c>
      <c r="F127" s="19">
        <v>365.61693857099601</v>
      </c>
      <c r="G127" s="12">
        <f>E127/Combined_Summary!$B$23</f>
        <v>1338.2891876380761</v>
      </c>
      <c r="H127" s="12">
        <f>F127/Combined_Summary!$B$23</f>
        <v>1462.467754283984</v>
      </c>
      <c r="I127" s="12">
        <f t="shared" si="2"/>
        <v>124.17856664590795</v>
      </c>
      <c r="J127" s="13">
        <f t="shared" si="3"/>
        <v>9.278903826837949E-2</v>
      </c>
    </row>
    <row r="128" spans="1:10" x14ac:dyDescent="0.35">
      <c r="A128" s="3">
        <v>16687</v>
      </c>
      <c r="B128" s="3">
        <v>224227</v>
      </c>
      <c r="C128" s="18">
        <v>784</v>
      </c>
      <c r="D128" s="18">
        <v>784</v>
      </c>
      <c r="E128" s="19">
        <v>325.91774974550498</v>
      </c>
      <c r="F128" s="19">
        <v>354.53866949859901</v>
      </c>
      <c r="G128" s="12">
        <f>E128/Combined_Summary!$B$23</f>
        <v>1303.6709989820199</v>
      </c>
      <c r="H128" s="12">
        <f>F128/Combined_Summary!$B$23</f>
        <v>1418.154677994396</v>
      </c>
      <c r="I128" s="12">
        <f t="shared" si="2"/>
        <v>114.48367901237611</v>
      </c>
      <c r="J128" s="13">
        <f t="shared" si="3"/>
        <v>8.7816388568719747E-2</v>
      </c>
    </row>
    <row r="129" spans="1:10" x14ac:dyDescent="0.35">
      <c r="A129" s="3">
        <v>16688</v>
      </c>
      <c r="B129" s="3">
        <v>223960</v>
      </c>
      <c r="C129" s="18">
        <v>1184</v>
      </c>
      <c r="D129" s="18">
        <v>1184</v>
      </c>
      <c r="E129" s="19">
        <v>321.97467803955101</v>
      </c>
      <c r="F129" s="19">
        <v>344.88682782972199</v>
      </c>
      <c r="G129" s="12">
        <f>E129/Combined_Summary!$B$23</f>
        <v>1287.898712158204</v>
      </c>
      <c r="H129" s="12">
        <f>F129/Combined_Summary!$B$23</f>
        <v>1379.547311318888</v>
      </c>
      <c r="I129" s="12">
        <f t="shared" si="2"/>
        <v>91.648599160683943</v>
      </c>
      <c r="J129" s="13">
        <f t="shared" si="3"/>
        <v>7.1161340791391317E-2</v>
      </c>
    </row>
    <row r="130" spans="1:10" x14ac:dyDescent="0.35">
      <c r="A130" s="3">
        <v>16696</v>
      </c>
      <c r="B130" s="3">
        <v>224183</v>
      </c>
      <c r="C130" s="18">
        <v>794</v>
      </c>
      <c r="D130" s="18">
        <v>794</v>
      </c>
      <c r="E130" s="19">
        <v>336.45911534306998</v>
      </c>
      <c r="F130" s="19">
        <v>366.37413927169501</v>
      </c>
      <c r="G130" s="12">
        <f>E130/Combined_Summary!$B$23</f>
        <v>1345.8364613722799</v>
      </c>
      <c r="H130" s="12">
        <f>F130/Combined_Summary!$B$23</f>
        <v>1465.4965570867801</v>
      </c>
      <c r="I130" s="12">
        <f t="shared" ref="I130:I193" si="4">H130-G130</f>
        <v>119.66009571450013</v>
      </c>
      <c r="J130" s="13">
        <f t="shared" ref="J130:J193" si="5">IF(G130=0,"",I130/G130)</f>
        <v>8.8911319576294515E-2</v>
      </c>
    </row>
    <row r="131" spans="1:10" x14ac:dyDescent="0.35">
      <c r="A131" s="3">
        <v>16697</v>
      </c>
      <c r="B131" s="3">
        <v>224166</v>
      </c>
      <c r="C131" s="18">
        <v>714</v>
      </c>
      <c r="D131" s="18">
        <v>714</v>
      </c>
      <c r="E131" s="19">
        <v>272.79025775578202</v>
      </c>
      <c r="F131" s="19">
        <v>308.74272493421199</v>
      </c>
      <c r="G131" s="12">
        <f>E131/Combined_Summary!$B$23</f>
        <v>1091.1610310231281</v>
      </c>
      <c r="H131" s="12">
        <f>F131/Combined_Summary!$B$23</f>
        <v>1234.970899736848</v>
      </c>
      <c r="I131" s="12">
        <f t="shared" si="4"/>
        <v>143.80986871371988</v>
      </c>
      <c r="J131" s="13">
        <f t="shared" si="5"/>
        <v>0.13179527551389589</v>
      </c>
    </row>
    <row r="132" spans="1:10" x14ac:dyDescent="0.35">
      <c r="A132" s="3">
        <v>16708</v>
      </c>
      <c r="B132" s="3">
        <v>224169</v>
      </c>
      <c r="C132" s="18">
        <v>584</v>
      </c>
      <c r="D132" s="18">
        <v>584</v>
      </c>
      <c r="E132" s="19">
        <v>177.09263355438</v>
      </c>
      <c r="F132" s="19">
        <v>228.77673343763001</v>
      </c>
      <c r="G132" s="12">
        <f>E132/Combined_Summary!$B$23</f>
        <v>708.37053421752</v>
      </c>
      <c r="H132" s="12">
        <f>F132/Combined_Summary!$B$23</f>
        <v>915.10693375052006</v>
      </c>
      <c r="I132" s="12">
        <f t="shared" si="4"/>
        <v>206.73639953300005</v>
      </c>
      <c r="J132" s="13">
        <f t="shared" si="5"/>
        <v>0.29184782475652399</v>
      </c>
    </row>
    <row r="133" spans="1:10" x14ac:dyDescent="0.35">
      <c r="A133" s="3">
        <v>16716</v>
      </c>
      <c r="B133" s="3">
        <v>451899</v>
      </c>
      <c r="C133" s="18">
        <v>452</v>
      </c>
      <c r="D133" s="18">
        <v>452</v>
      </c>
      <c r="E133" s="19">
        <v>337.64517777367001</v>
      </c>
      <c r="F133" s="19">
        <v>383.99528986162898</v>
      </c>
      <c r="G133" s="12">
        <f>E133/Combined_Summary!$B$23</f>
        <v>1350.5807110946801</v>
      </c>
      <c r="H133" s="12">
        <f>F133/Combined_Summary!$B$23</f>
        <v>1535.9811594465159</v>
      </c>
      <c r="I133" s="12">
        <f t="shared" si="4"/>
        <v>185.40044835183585</v>
      </c>
      <c r="J133" s="13">
        <f t="shared" si="5"/>
        <v>0.13727461589582757</v>
      </c>
    </row>
    <row r="134" spans="1:10" x14ac:dyDescent="0.35">
      <c r="A134" s="3">
        <v>16717</v>
      </c>
      <c r="B134" s="3">
        <v>232143</v>
      </c>
      <c r="C134" s="18">
        <v>813</v>
      </c>
      <c r="D134" s="18">
        <v>813</v>
      </c>
      <c r="E134" s="19">
        <v>345.11420973230003</v>
      </c>
      <c r="F134" s="19">
        <v>367.27385838357299</v>
      </c>
      <c r="G134" s="12">
        <f>E134/Combined_Summary!$B$23</f>
        <v>1380.4568389292001</v>
      </c>
      <c r="H134" s="12">
        <f>F134/Combined_Summary!$B$23</f>
        <v>1469.0954335342919</v>
      </c>
      <c r="I134" s="12">
        <f t="shared" si="4"/>
        <v>88.638594605091839</v>
      </c>
      <c r="J134" s="13">
        <f t="shared" si="5"/>
        <v>6.4209609533208936E-2</v>
      </c>
    </row>
    <row r="135" spans="1:10" x14ac:dyDescent="0.35">
      <c r="A135" s="3">
        <v>16718</v>
      </c>
      <c r="B135" s="3">
        <v>224174</v>
      </c>
      <c r="C135" s="18">
        <v>709</v>
      </c>
      <c r="D135" s="18">
        <v>709</v>
      </c>
      <c r="E135" s="19">
        <v>258.655890557595</v>
      </c>
      <c r="F135" s="19">
        <v>305.59602749801701</v>
      </c>
      <c r="G135" s="12">
        <f>E135/Combined_Summary!$B$23</f>
        <v>1034.62356223038</v>
      </c>
      <c r="H135" s="12">
        <f>F135/Combined_Summary!$B$23</f>
        <v>1222.384109992068</v>
      </c>
      <c r="I135" s="12">
        <f t="shared" si="4"/>
        <v>187.76054776168803</v>
      </c>
      <c r="J135" s="13">
        <f t="shared" si="5"/>
        <v>0.1814771619514686</v>
      </c>
    </row>
    <row r="136" spans="1:10" x14ac:dyDescent="0.35">
      <c r="A136" s="3">
        <v>16719</v>
      </c>
      <c r="B136" s="3">
        <v>223986</v>
      </c>
      <c r="C136" s="18">
        <v>738</v>
      </c>
      <c r="D136" s="18">
        <v>738</v>
      </c>
      <c r="E136" s="19">
        <v>228.565730846994</v>
      </c>
      <c r="F136" s="19">
        <v>271.808245082535</v>
      </c>
      <c r="G136" s="12">
        <f>E136/Combined_Summary!$B$23</f>
        <v>914.262923387976</v>
      </c>
      <c r="H136" s="12">
        <f>F136/Combined_Summary!$B$23</f>
        <v>1087.23298033014</v>
      </c>
      <c r="I136" s="12">
        <f t="shared" si="4"/>
        <v>172.97005694216398</v>
      </c>
      <c r="J136" s="13">
        <f t="shared" si="5"/>
        <v>0.18919071584046127</v>
      </c>
    </row>
    <row r="137" spans="1:10" x14ac:dyDescent="0.35">
      <c r="A137" s="3">
        <v>16726</v>
      </c>
      <c r="B137" s="3">
        <v>224369</v>
      </c>
      <c r="C137" s="18">
        <v>794</v>
      </c>
      <c r="D137" s="18">
        <v>794</v>
      </c>
      <c r="E137" s="19">
        <v>309.67970473339898</v>
      </c>
      <c r="F137" s="19">
        <v>332.28741365716201</v>
      </c>
      <c r="G137" s="12">
        <f>E137/Combined_Summary!$B$23</f>
        <v>1238.7188189335959</v>
      </c>
      <c r="H137" s="12">
        <f>F137/Combined_Summary!$B$23</f>
        <v>1329.149654628648</v>
      </c>
      <c r="I137" s="12">
        <f t="shared" si="4"/>
        <v>90.43083569505211</v>
      </c>
      <c r="J137" s="13">
        <f t="shared" si="5"/>
        <v>7.3003521309947778E-2</v>
      </c>
    </row>
    <row r="138" spans="1:10" x14ac:dyDescent="0.35">
      <c r="A138" s="3">
        <v>16731</v>
      </c>
      <c r="B138" s="3">
        <v>224313</v>
      </c>
      <c r="C138" s="18">
        <v>818</v>
      </c>
      <c r="D138" s="18">
        <v>818</v>
      </c>
      <c r="E138" s="19">
        <v>295.64928255337702</v>
      </c>
      <c r="F138" s="19">
        <v>336.76141936621599</v>
      </c>
      <c r="G138" s="12">
        <f>E138/Combined_Summary!$B$23</f>
        <v>1182.5971302135081</v>
      </c>
      <c r="H138" s="12">
        <f>F138/Combined_Summary!$B$23</f>
        <v>1347.045677464864</v>
      </c>
      <c r="I138" s="12">
        <f t="shared" si="4"/>
        <v>164.44854725135588</v>
      </c>
      <c r="J138" s="13">
        <f t="shared" si="5"/>
        <v>0.13905711678977781</v>
      </c>
    </row>
    <row r="139" spans="1:10" x14ac:dyDescent="0.35">
      <c r="A139" s="3">
        <v>16739</v>
      </c>
      <c r="B139" s="3">
        <v>224308</v>
      </c>
      <c r="C139" s="18">
        <v>631</v>
      </c>
      <c r="D139" s="18">
        <v>631</v>
      </c>
      <c r="E139" s="19">
        <v>324.21876175241101</v>
      </c>
      <c r="F139" s="19">
        <v>350.09011883138697</v>
      </c>
      <c r="G139" s="12">
        <f>E139/Combined_Summary!$B$23</f>
        <v>1296.875047009644</v>
      </c>
      <c r="H139" s="12">
        <f>F139/Combined_Summary!$B$23</f>
        <v>1400.3604753255479</v>
      </c>
      <c r="I139" s="12">
        <f t="shared" si="4"/>
        <v>103.48542831590385</v>
      </c>
      <c r="J139" s="13">
        <f t="shared" si="5"/>
        <v>7.9795990025810323E-2</v>
      </c>
    </row>
    <row r="140" spans="1:10" x14ac:dyDescent="0.35">
      <c r="A140" s="3">
        <v>16740</v>
      </c>
      <c r="B140" s="3">
        <v>224185</v>
      </c>
      <c r="C140" s="18">
        <v>658</v>
      </c>
      <c r="D140" s="18">
        <v>658</v>
      </c>
      <c r="E140" s="19">
        <v>335.186254304231</v>
      </c>
      <c r="F140" s="19">
        <v>362.61827189436798</v>
      </c>
      <c r="G140" s="12">
        <f>E140/Combined_Summary!$B$23</f>
        <v>1340.745017216924</v>
      </c>
      <c r="H140" s="12">
        <f>F140/Combined_Summary!$B$23</f>
        <v>1450.4730875774719</v>
      </c>
      <c r="I140" s="12">
        <f t="shared" si="4"/>
        <v>109.72807036054792</v>
      </c>
      <c r="J140" s="13">
        <f t="shared" si="5"/>
        <v>8.1841117402261895E-2</v>
      </c>
    </row>
    <row r="141" spans="1:10" x14ac:dyDescent="0.35">
      <c r="A141" s="3">
        <v>16751</v>
      </c>
      <c r="B141" s="3">
        <v>224314</v>
      </c>
      <c r="C141" s="18">
        <v>844</v>
      </c>
      <c r="D141" s="18">
        <v>844</v>
      </c>
      <c r="E141" s="19">
        <v>210.76224189234</v>
      </c>
      <c r="F141" s="19">
        <v>261.35678136744201</v>
      </c>
      <c r="G141" s="12">
        <f>E141/Combined_Summary!$B$23</f>
        <v>843.04896756936</v>
      </c>
      <c r="H141" s="12">
        <f>F141/Combined_Summary!$B$23</f>
        <v>1045.427125469768</v>
      </c>
      <c r="I141" s="12">
        <f t="shared" si="4"/>
        <v>202.37815790040804</v>
      </c>
      <c r="J141" s="13">
        <f t="shared" si="5"/>
        <v>0.24005504506327247</v>
      </c>
    </row>
    <row r="142" spans="1:10" x14ac:dyDescent="0.35">
      <c r="A142" s="3">
        <v>21281</v>
      </c>
      <c r="B142" s="3">
        <v>232131</v>
      </c>
      <c r="C142" s="18">
        <v>834</v>
      </c>
      <c r="D142" s="18">
        <v>834</v>
      </c>
      <c r="E142" s="19">
        <v>342.87312893215699</v>
      </c>
      <c r="F142" s="19">
        <v>362.45558995308602</v>
      </c>
      <c r="G142" s="12">
        <f>E142/Combined_Summary!$B$23</f>
        <v>1371.492515728628</v>
      </c>
      <c r="H142" s="12">
        <f>F142/Combined_Summary!$B$23</f>
        <v>1449.8223598123441</v>
      </c>
      <c r="I142" s="12">
        <f t="shared" si="4"/>
        <v>78.329844083716125</v>
      </c>
      <c r="J142" s="13">
        <f t="shared" si="5"/>
        <v>5.7112848364398186E-2</v>
      </c>
    </row>
    <row r="143" spans="1:10" x14ac:dyDescent="0.35">
      <c r="A143" s="3">
        <v>21282</v>
      </c>
      <c r="B143" s="3">
        <v>224101</v>
      </c>
      <c r="C143" s="18">
        <v>855</v>
      </c>
      <c r="D143" s="18">
        <v>855</v>
      </c>
      <c r="E143" s="19">
        <v>341.03843810767501</v>
      </c>
      <c r="F143" s="19">
        <v>367.28773330777699</v>
      </c>
      <c r="G143" s="12">
        <f>E143/Combined_Summary!$B$23</f>
        <v>1364.1537524307</v>
      </c>
      <c r="H143" s="12">
        <f>F143/Combined_Summary!$B$23</f>
        <v>1469.150933231108</v>
      </c>
      <c r="I143" s="12">
        <f t="shared" si="4"/>
        <v>104.99718080040793</v>
      </c>
      <c r="J143" s="13">
        <f t="shared" si="5"/>
        <v>7.6968729231085609E-2</v>
      </c>
    </row>
    <row r="144" spans="1:10" x14ac:dyDescent="0.35">
      <c r="A144" s="3">
        <v>21287</v>
      </c>
      <c r="B144" s="3">
        <v>223366</v>
      </c>
      <c r="C144" s="18">
        <v>1330</v>
      </c>
      <c r="D144" s="18">
        <v>1330</v>
      </c>
      <c r="E144" s="19">
        <v>346.19955801712803</v>
      </c>
      <c r="F144" s="19">
        <v>381.86059007572999</v>
      </c>
      <c r="G144" s="12">
        <f>E144/Combined_Summary!$B$23</f>
        <v>1384.7982320685121</v>
      </c>
      <c r="H144" s="12">
        <f>F144/Combined_Summary!$B$23</f>
        <v>1527.44236030292</v>
      </c>
      <c r="I144" s="12">
        <f t="shared" si="4"/>
        <v>142.64412823440784</v>
      </c>
      <c r="J144" s="13">
        <f t="shared" si="5"/>
        <v>0.10300715651646687</v>
      </c>
    </row>
    <row r="145" spans="1:10" x14ac:dyDescent="0.35">
      <c r="A145" s="3">
        <v>21288</v>
      </c>
      <c r="B145" s="3">
        <v>224025</v>
      </c>
      <c r="C145" s="18">
        <v>1054</v>
      </c>
      <c r="D145" s="18">
        <v>1054</v>
      </c>
      <c r="E145" s="19">
        <v>341.89864565072997</v>
      </c>
      <c r="F145" s="19">
        <v>375.10701040163002</v>
      </c>
      <c r="G145" s="12">
        <f>E145/Combined_Summary!$B$23</f>
        <v>1367.5945826029199</v>
      </c>
      <c r="H145" s="12">
        <f>F145/Combined_Summary!$B$23</f>
        <v>1500.4280416065201</v>
      </c>
      <c r="I145" s="12">
        <f t="shared" si="4"/>
        <v>132.83345900360018</v>
      </c>
      <c r="J145" s="13">
        <f t="shared" si="5"/>
        <v>9.7129266738378336E-2</v>
      </c>
    </row>
    <row r="146" spans="1:10" x14ac:dyDescent="0.35">
      <c r="A146" s="3">
        <v>21289</v>
      </c>
      <c r="B146" s="3">
        <v>224002</v>
      </c>
      <c r="C146" s="18">
        <v>638</v>
      </c>
      <c r="D146" s="18">
        <v>638</v>
      </c>
      <c r="E146" s="19">
        <v>325.37719832991399</v>
      </c>
      <c r="F146" s="19">
        <v>360.50568485559</v>
      </c>
      <c r="G146" s="12">
        <f>E146/Combined_Summary!$B$23</f>
        <v>1301.508793319656</v>
      </c>
      <c r="H146" s="12">
        <f>F146/Combined_Summary!$B$23</f>
        <v>1442.02273942236</v>
      </c>
      <c r="I146" s="12">
        <f t="shared" si="4"/>
        <v>140.51394610270404</v>
      </c>
      <c r="J146" s="13">
        <f t="shared" si="5"/>
        <v>0.10796234864023176</v>
      </c>
    </row>
    <row r="147" spans="1:10" x14ac:dyDescent="0.35">
      <c r="A147" s="3">
        <v>21301</v>
      </c>
      <c r="B147" s="3">
        <v>224096</v>
      </c>
      <c r="C147" s="18">
        <v>839</v>
      </c>
      <c r="D147" s="18">
        <v>839</v>
      </c>
      <c r="E147" s="19">
        <v>340.93128741767902</v>
      </c>
      <c r="F147" s="19">
        <v>369.14071487954197</v>
      </c>
      <c r="G147" s="12">
        <f>E147/Combined_Summary!$B$23</f>
        <v>1363.7251496707161</v>
      </c>
      <c r="H147" s="12">
        <f>F147/Combined_Summary!$B$23</f>
        <v>1476.5628595181679</v>
      </c>
      <c r="I147" s="12">
        <f t="shared" si="4"/>
        <v>112.83770984745183</v>
      </c>
      <c r="J147" s="13">
        <f t="shared" si="5"/>
        <v>8.2742266559135857E-2</v>
      </c>
    </row>
    <row r="148" spans="1:10" x14ac:dyDescent="0.35">
      <c r="A148" s="3">
        <v>21302</v>
      </c>
      <c r="B148" s="3">
        <v>224091</v>
      </c>
      <c r="C148" s="18">
        <v>830</v>
      </c>
      <c r="D148" s="18">
        <v>830</v>
      </c>
      <c r="E148" s="19">
        <v>366.64808146465299</v>
      </c>
      <c r="F148" s="19">
        <v>391.63975708743197</v>
      </c>
      <c r="G148" s="12">
        <f>E148/Combined_Summary!$B$23</f>
        <v>1466.592325858612</v>
      </c>
      <c r="H148" s="12">
        <f>F148/Combined_Summary!$B$23</f>
        <v>1566.5590283497279</v>
      </c>
      <c r="I148" s="12">
        <f t="shared" si="4"/>
        <v>99.966702491115939</v>
      </c>
      <c r="J148" s="13">
        <f t="shared" si="5"/>
        <v>6.8162570285229568E-2</v>
      </c>
    </row>
    <row r="149" spans="1:10" x14ac:dyDescent="0.35">
      <c r="A149" s="3">
        <v>21303</v>
      </c>
      <c r="B149" s="3">
        <v>224030</v>
      </c>
      <c r="C149" s="18">
        <v>746</v>
      </c>
      <c r="D149" s="18">
        <v>746</v>
      </c>
      <c r="E149" s="19">
        <v>340.32379230161803</v>
      </c>
      <c r="F149" s="19">
        <v>368.05668269916799</v>
      </c>
      <c r="G149" s="12">
        <f>E149/Combined_Summary!$B$23</f>
        <v>1361.2951692064721</v>
      </c>
      <c r="H149" s="12">
        <f>F149/Combined_Summary!$B$23</f>
        <v>1472.226730796672</v>
      </c>
      <c r="I149" s="12">
        <f t="shared" si="4"/>
        <v>110.93156159019986</v>
      </c>
      <c r="J149" s="13">
        <f t="shared" si="5"/>
        <v>8.1489719569683206E-2</v>
      </c>
    </row>
    <row r="150" spans="1:10" x14ac:dyDescent="0.35">
      <c r="A150" s="3">
        <v>21312</v>
      </c>
      <c r="B150" s="3">
        <v>224108</v>
      </c>
      <c r="C150" s="18">
        <v>211</v>
      </c>
      <c r="D150" s="18">
        <v>211</v>
      </c>
      <c r="E150" s="19">
        <v>315.34387930196601</v>
      </c>
      <c r="F150" s="19">
        <v>348.35409921944398</v>
      </c>
      <c r="G150" s="12">
        <f>E150/Combined_Summary!$B$23</f>
        <v>1261.375517207864</v>
      </c>
      <c r="H150" s="12">
        <f>F150/Combined_Summary!$B$23</f>
        <v>1393.4163968777759</v>
      </c>
      <c r="I150" s="12">
        <f t="shared" si="4"/>
        <v>132.04087966991187</v>
      </c>
      <c r="J150" s="13">
        <f t="shared" si="5"/>
        <v>0.1046800717697398</v>
      </c>
    </row>
    <row r="151" spans="1:10" x14ac:dyDescent="0.35">
      <c r="A151" s="3">
        <v>21313</v>
      </c>
      <c r="B151" s="3">
        <v>224077</v>
      </c>
      <c r="C151" s="18">
        <v>330</v>
      </c>
      <c r="D151" s="18">
        <v>330</v>
      </c>
      <c r="E151" s="19">
        <v>325.28221243655997</v>
      </c>
      <c r="F151" s="19">
        <v>352.38147305575302</v>
      </c>
      <c r="G151" s="12">
        <f>E151/Combined_Summary!$B$23</f>
        <v>1301.1288497462399</v>
      </c>
      <c r="H151" s="12">
        <f>F151/Combined_Summary!$B$23</f>
        <v>1409.5258922230121</v>
      </c>
      <c r="I151" s="12">
        <f t="shared" si="4"/>
        <v>108.39704247677219</v>
      </c>
      <c r="J151" s="13">
        <f t="shared" si="5"/>
        <v>8.3309998466264842E-2</v>
      </c>
    </row>
    <row r="152" spans="1:10" x14ac:dyDescent="0.35">
      <c r="A152" s="3">
        <v>21314</v>
      </c>
      <c r="B152" s="3">
        <v>232118</v>
      </c>
      <c r="C152" s="18">
        <v>771</v>
      </c>
      <c r="D152" s="18">
        <v>771</v>
      </c>
      <c r="E152" s="19">
        <v>325.55523642058802</v>
      </c>
      <c r="F152" s="19">
        <v>349.30547434686798</v>
      </c>
      <c r="G152" s="12">
        <f>E152/Combined_Summary!$B$23</f>
        <v>1302.2209456823521</v>
      </c>
      <c r="H152" s="12">
        <f>F152/Combined_Summary!$B$23</f>
        <v>1397.2218973874719</v>
      </c>
      <c r="I152" s="12">
        <f t="shared" si="4"/>
        <v>95.00095170511986</v>
      </c>
      <c r="J152" s="13">
        <f t="shared" si="5"/>
        <v>7.2953020775856289E-2</v>
      </c>
    </row>
    <row r="153" spans="1:10" x14ac:dyDescent="0.35">
      <c r="A153" s="3">
        <v>21325</v>
      </c>
      <c r="B153" s="3">
        <v>596599</v>
      </c>
      <c r="C153" s="18">
        <v>16</v>
      </c>
      <c r="D153" s="18">
        <v>16</v>
      </c>
      <c r="E153" s="19">
        <v>336.82607078552297</v>
      </c>
      <c r="F153" s="19">
        <v>346.85984992981003</v>
      </c>
      <c r="G153" s="12">
        <f>E153/Combined_Summary!$B$23</f>
        <v>1347.3042831420919</v>
      </c>
      <c r="H153" s="12">
        <f>F153/Combined_Summary!$B$23</f>
        <v>1387.4393997192401</v>
      </c>
      <c r="I153" s="12">
        <f t="shared" si="4"/>
        <v>40.13511657714821</v>
      </c>
      <c r="J153" s="13">
        <f t="shared" si="5"/>
        <v>2.9789199870683857E-2</v>
      </c>
    </row>
    <row r="154" spans="1:10" x14ac:dyDescent="0.35">
      <c r="A154" s="3">
        <v>21326</v>
      </c>
      <c r="B154" s="3">
        <v>224051</v>
      </c>
      <c r="C154" s="18">
        <v>646</v>
      </c>
      <c r="D154" s="18">
        <v>646</v>
      </c>
      <c r="E154" s="19">
        <v>300.72169593834701</v>
      </c>
      <c r="F154" s="19">
        <v>347.418791000319</v>
      </c>
      <c r="G154" s="12">
        <f>E154/Combined_Summary!$B$23</f>
        <v>1202.886783753388</v>
      </c>
      <c r="H154" s="12">
        <f>F154/Combined_Summary!$B$23</f>
        <v>1389.675164001276</v>
      </c>
      <c r="I154" s="12">
        <f t="shared" si="4"/>
        <v>186.78838024788797</v>
      </c>
      <c r="J154" s="13">
        <f t="shared" si="5"/>
        <v>0.15528342548169746</v>
      </c>
    </row>
    <row r="155" spans="1:10" x14ac:dyDescent="0.35">
      <c r="A155" s="3">
        <v>21327</v>
      </c>
      <c r="B155" s="3">
        <v>223892</v>
      </c>
      <c r="C155" s="18">
        <v>804</v>
      </c>
      <c r="D155" s="18">
        <v>804</v>
      </c>
      <c r="E155" s="19">
        <v>316.01549788138198</v>
      </c>
      <c r="F155" s="19">
        <v>353.77918626775801</v>
      </c>
      <c r="G155" s="12">
        <f>E155/Combined_Summary!$B$23</f>
        <v>1264.0619915255279</v>
      </c>
      <c r="H155" s="12">
        <f>F155/Combined_Summary!$B$23</f>
        <v>1415.116745071032</v>
      </c>
      <c r="I155" s="12">
        <f t="shared" si="4"/>
        <v>151.05475354550413</v>
      </c>
      <c r="J155" s="13">
        <f t="shared" si="5"/>
        <v>0.11949948227080567</v>
      </c>
    </row>
    <row r="156" spans="1:10" x14ac:dyDescent="0.35">
      <c r="A156" s="3">
        <v>21338</v>
      </c>
      <c r="B156" s="3">
        <v>649949</v>
      </c>
      <c r="C156" s="18">
        <v>16</v>
      </c>
      <c r="D156" s="18">
        <v>16</v>
      </c>
      <c r="E156" s="19">
        <v>337.58888626098599</v>
      </c>
      <c r="F156" s="19">
        <v>350.675239562988</v>
      </c>
      <c r="G156" s="12">
        <f>E156/Combined_Summary!$B$23</f>
        <v>1350.3555450439439</v>
      </c>
      <c r="H156" s="12">
        <f>F156/Combined_Summary!$B$23</f>
        <v>1402.700958251952</v>
      </c>
      <c r="I156" s="12">
        <f t="shared" si="4"/>
        <v>52.34541320800804</v>
      </c>
      <c r="J156" s="13">
        <f t="shared" si="5"/>
        <v>3.8764170962325768E-2</v>
      </c>
    </row>
    <row r="157" spans="1:10" x14ac:dyDescent="0.35">
      <c r="A157" s="3">
        <v>21343</v>
      </c>
      <c r="B157" s="3">
        <v>224087</v>
      </c>
      <c r="C157" s="18">
        <v>585</v>
      </c>
      <c r="D157" s="18">
        <v>585</v>
      </c>
      <c r="E157" s="19">
        <v>348.97674396873498</v>
      </c>
      <c r="F157" s="19">
        <v>376.64759304992202</v>
      </c>
      <c r="G157" s="12">
        <f>E157/Combined_Summary!$B$23</f>
        <v>1395.9069758749399</v>
      </c>
      <c r="H157" s="12">
        <f>F157/Combined_Summary!$B$23</f>
        <v>1506.5903721996881</v>
      </c>
      <c r="I157" s="12">
        <f t="shared" si="4"/>
        <v>110.68339632474817</v>
      </c>
      <c r="J157" s="13">
        <f t="shared" si="5"/>
        <v>7.9291384195120149E-2</v>
      </c>
    </row>
    <row r="158" spans="1:10" x14ac:dyDescent="0.35">
      <c r="A158" s="3">
        <v>21344</v>
      </c>
      <c r="B158" s="3">
        <v>224048</v>
      </c>
      <c r="C158" s="18">
        <v>635</v>
      </c>
      <c r="D158" s="18">
        <v>635</v>
      </c>
      <c r="E158" s="19">
        <v>333.97056080975898</v>
      </c>
      <c r="F158" s="19">
        <v>359.078986124354</v>
      </c>
      <c r="G158" s="12">
        <f>E158/Combined_Summary!$B$23</f>
        <v>1335.8822432390359</v>
      </c>
      <c r="H158" s="12">
        <f>F158/Combined_Summary!$B$23</f>
        <v>1436.315944497416</v>
      </c>
      <c r="I158" s="12">
        <f t="shared" si="4"/>
        <v>100.4337012583801</v>
      </c>
      <c r="J158" s="13">
        <f t="shared" si="5"/>
        <v>7.5181552690500877E-2</v>
      </c>
    </row>
    <row r="159" spans="1:10" x14ac:dyDescent="0.35">
      <c r="A159" s="3">
        <v>21345</v>
      </c>
      <c r="B159" s="3">
        <v>223348</v>
      </c>
      <c r="C159" s="18">
        <v>819</v>
      </c>
      <c r="D159" s="18">
        <v>819</v>
      </c>
      <c r="E159" s="19">
        <v>293.90760472522402</v>
      </c>
      <c r="F159" s="19">
        <v>331.204596942161</v>
      </c>
      <c r="G159" s="12">
        <f>E159/Combined_Summary!$B$23</f>
        <v>1175.6304189008961</v>
      </c>
      <c r="H159" s="12">
        <f>F159/Combined_Summary!$B$23</f>
        <v>1324.818387768644</v>
      </c>
      <c r="I159" s="12">
        <f t="shared" si="4"/>
        <v>149.18796886774794</v>
      </c>
      <c r="J159" s="13">
        <f t="shared" si="5"/>
        <v>0.12690039868756089</v>
      </c>
    </row>
    <row r="160" spans="1:10" x14ac:dyDescent="0.35">
      <c r="A160" s="3">
        <v>21346</v>
      </c>
      <c r="B160" s="3">
        <v>647042</v>
      </c>
      <c r="C160" s="18">
        <v>16</v>
      </c>
      <c r="D160" s="18">
        <v>16</v>
      </c>
      <c r="E160" s="19">
        <v>363.47802734375</v>
      </c>
      <c r="F160" s="19">
        <v>390.72477149963402</v>
      </c>
      <c r="G160" s="12">
        <f>E160/Combined_Summary!$B$23</f>
        <v>1453.912109375</v>
      </c>
      <c r="H160" s="12">
        <f>F160/Combined_Summary!$B$23</f>
        <v>1562.8990859985361</v>
      </c>
      <c r="I160" s="12">
        <f t="shared" si="4"/>
        <v>108.98697662353607</v>
      </c>
      <c r="J160" s="13">
        <f t="shared" si="5"/>
        <v>7.4961186388623452E-2</v>
      </c>
    </row>
    <row r="161" spans="1:10" x14ac:dyDescent="0.35">
      <c r="A161" s="3">
        <v>21351</v>
      </c>
      <c r="B161" s="3">
        <v>447458</v>
      </c>
      <c r="C161" s="18">
        <v>499</v>
      </c>
      <c r="D161" s="18">
        <v>499</v>
      </c>
      <c r="E161" s="19">
        <v>311.29316902542899</v>
      </c>
      <c r="F161" s="19">
        <v>365.04120111561002</v>
      </c>
      <c r="G161" s="12">
        <f>E161/Combined_Summary!$B$23</f>
        <v>1245.172676101716</v>
      </c>
      <c r="H161" s="12">
        <f>F161/Combined_Summary!$B$23</f>
        <v>1460.1648044624401</v>
      </c>
      <c r="I161" s="12">
        <f t="shared" si="4"/>
        <v>214.99212836072411</v>
      </c>
      <c r="J161" s="13">
        <f t="shared" si="5"/>
        <v>0.17266049318862645</v>
      </c>
    </row>
    <row r="162" spans="1:10" x14ac:dyDescent="0.35">
      <c r="A162" s="3">
        <v>21352</v>
      </c>
      <c r="B162" s="3">
        <v>232144</v>
      </c>
      <c r="C162" s="18">
        <v>633</v>
      </c>
      <c r="D162" s="18">
        <v>633</v>
      </c>
      <c r="E162" s="19">
        <v>332.40679121092802</v>
      </c>
      <c r="F162" s="19">
        <v>354.67670211671498</v>
      </c>
      <c r="G162" s="12">
        <f>E162/Combined_Summary!$B$23</f>
        <v>1329.6271648437121</v>
      </c>
      <c r="H162" s="12">
        <f>F162/Combined_Summary!$B$23</f>
        <v>1418.7068084668599</v>
      </c>
      <c r="I162" s="12">
        <f t="shared" si="4"/>
        <v>89.079643623147831</v>
      </c>
      <c r="J162" s="13">
        <f t="shared" si="5"/>
        <v>6.6995956444390548E-2</v>
      </c>
    </row>
    <row r="163" spans="1:10" x14ac:dyDescent="0.35">
      <c r="A163" s="3">
        <v>21353</v>
      </c>
      <c r="B163" s="3">
        <v>224006</v>
      </c>
      <c r="C163" s="18">
        <v>606</v>
      </c>
      <c r="D163" s="18">
        <v>606</v>
      </c>
      <c r="E163" s="19">
        <v>269.93578130892001</v>
      </c>
      <c r="F163" s="19">
        <v>306.22438114783199</v>
      </c>
      <c r="G163" s="12">
        <f>E163/Combined_Summary!$B$23</f>
        <v>1079.7431252356801</v>
      </c>
      <c r="H163" s="12">
        <f>F163/Combined_Summary!$B$23</f>
        <v>1224.897524591328</v>
      </c>
      <c r="I163" s="12">
        <f t="shared" si="4"/>
        <v>145.15439935564791</v>
      </c>
      <c r="J163" s="13">
        <f t="shared" si="5"/>
        <v>0.13443419639644796</v>
      </c>
    </row>
    <row r="164" spans="1:10" x14ac:dyDescent="0.35">
      <c r="A164" s="3">
        <v>21365</v>
      </c>
      <c r="B164" s="3">
        <v>451845</v>
      </c>
      <c r="C164" s="18">
        <v>536</v>
      </c>
      <c r="D164" s="18">
        <v>536</v>
      </c>
      <c r="E164" s="19">
        <v>334.32500781585901</v>
      </c>
      <c r="F164" s="19">
        <v>376.54278484743003</v>
      </c>
      <c r="G164" s="12">
        <f>E164/Combined_Summary!$B$23</f>
        <v>1337.300031263436</v>
      </c>
      <c r="H164" s="12">
        <f>F164/Combined_Summary!$B$23</f>
        <v>1506.1711393897201</v>
      </c>
      <c r="I164" s="12">
        <f t="shared" si="4"/>
        <v>168.87110812628407</v>
      </c>
      <c r="J164" s="13">
        <f t="shared" si="5"/>
        <v>0.12627765211875477</v>
      </c>
    </row>
    <row r="165" spans="1:10" x14ac:dyDescent="0.35">
      <c r="A165" s="3">
        <v>21366</v>
      </c>
      <c r="B165" s="3">
        <v>224037</v>
      </c>
      <c r="C165" s="18">
        <v>887</v>
      </c>
      <c r="D165" s="18">
        <v>887</v>
      </c>
      <c r="E165" s="19">
        <v>326.943168227272</v>
      </c>
      <c r="F165" s="19">
        <v>350.81770975828999</v>
      </c>
      <c r="G165" s="12">
        <f>E165/Combined_Summary!$B$23</f>
        <v>1307.772672909088</v>
      </c>
      <c r="H165" s="12">
        <f>F165/Combined_Summary!$B$23</f>
        <v>1403.27083903316</v>
      </c>
      <c r="I165" s="12">
        <f t="shared" si="4"/>
        <v>95.498166124071986</v>
      </c>
      <c r="J165" s="13">
        <f t="shared" si="5"/>
        <v>7.3023521673411432E-2</v>
      </c>
    </row>
    <row r="166" spans="1:10" x14ac:dyDescent="0.35">
      <c r="A166" s="3">
        <v>21367</v>
      </c>
      <c r="B166" s="3">
        <v>223959</v>
      </c>
      <c r="C166" s="18">
        <v>462</v>
      </c>
      <c r="D166" s="18">
        <v>462</v>
      </c>
      <c r="E166" s="19">
        <v>260.15376773850699</v>
      </c>
      <c r="F166" s="19">
        <v>302.86306858475598</v>
      </c>
      <c r="G166" s="12">
        <f>E166/Combined_Summary!$B$23</f>
        <v>1040.6150709540279</v>
      </c>
      <c r="H166" s="12">
        <f>F166/Combined_Summary!$B$23</f>
        <v>1211.4522743390239</v>
      </c>
      <c r="I166" s="12">
        <f t="shared" si="4"/>
        <v>170.83720338499597</v>
      </c>
      <c r="J166" s="13">
        <f t="shared" si="5"/>
        <v>0.1641694495433107</v>
      </c>
    </row>
    <row r="167" spans="1:10" x14ac:dyDescent="0.35">
      <c r="A167" s="3">
        <v>21376</v>
      </c>
      <c r="B167" s="3">
        <v>224083</v>
      </c>
      <c r="C167" s="18">
        <v>858</v>
      </c>
      <c r="D167" s="18">
        <v>858</v>
      </c>
      <c r="E167" s="19">
        <v>328.23577875524097</v>
      </c>
      <c r="F167" s="19">
        <v>359.87157385943902</v>
      </c>
      <c r="G167" s="12">
        <f>E167/Combined_Summary!$B$23</f>
        <v>1312.9431150209639</v>
      </c>
      <c r="H167" s="12">
        <f>F167/Combined_Summary!$B$23</f>
        <v>1439.4862954377561</v>
      </c>
      <c r="I167" s="12">
        <f t="shared" si="4"/>
        <v>126.54318041679221</v>
      </c>
      <c r="J167" s="13">
        <f t="shared" si="5"/>
        <v>9.6381312312050688E-2</v>
      </c>
    </row>
    <row r="168" spans="1:10" x14ac:dyDescent="0.35">
      <c r="A168" s="3">
        <v>21377</v>
      </c>
      <c r="B168" s="3">
        <v>224163</v>
      </c>
      <c r="C168" s="18">
        <v>911</v>
      </c>
      <c r="D168" s="18">
        <v>911</v>
      </c>
      <c r="E168" s="19">
        <v>280.27407947460699</v>
      </c>
      <c r="F168" s="19">
        <v>332.49301405403099</v>
      </c>
      <c r="G168" s="12">
        <f>E168/Combined_Summary!$B$23</f>
        <v>1121.096317898428</v>
      </c>
      <c r="H168" s="12">
        <f>F168/Combined_Summary!$B$23</f>
        <v>1329.972056216124</v>
      </c>
      <c r="I168" s="12">
        <f t="shared" si="4"/>
        <v>208.875738317696</v>
      </c>
      <c r="J168" s="13">
        <f t="shared" si="5"/>
        <v>0.18631382066194627</v>
      </c>
    </row>
    <row r="169" spans="1:10" x14ac:dyDescent="0.35">
      <c r="A169" s="3">
        <v>21388</v>
      </c>
      <c r="B169" s="3">
        <v>224046</v>
      </c>
      <c r="C169" s="18">
        <v>1025</v>
      </c>
      <c r="D169" s="18">
        <v>1025</v>
      </c>
      <c r="E169" s="19">
        <v>293.97895095452998</v>
      </c>
      <c r="F169" s="19">
        <v>329.59990571557</v>
      </c>
      <c r="G169" s="12">
        <f>E169/Combined_Summary!$B$23</f>
        <v>1175.9158038181199</v>
      </c>
      <c r="H169" s="12">
        <f>F169/Combined_Summary!$B$23</f>
        <v>1318.39962286228</v>
      </c>
      <c r="I169" s="12">
        <f t="shared" si="4"/>
        <v>142.4838190441601</v>
      </c>
      <c r="J169" s="13">
        <f t="shared" si="5"/>
        <v>0.12116838516969045</v>
      </c>
    </row>
    <row r="170" spans="1:10" x14ac:dyDescent="0.35">
      <c r="A170" s="3">
        <v>21389</v>
      </c>
      <c r="B170" s="3">
        <v>224168</v>
      </c>
      <c r="C170" s="18">
        <v>575</v>
      </c>
      <c r="D170" s="18">
        <v>575</v>
      </c>
      <c r="E170" s="19">
        <v>207.190799746306</v>
      </c>
      <c r="F170" s="19">
        <v>248.63531418510101</v>
      </c>
      <c r="G170" s="12">
        <f>E170/Combined_Summary!$B$23</f>
        <v>828.76319898522399</v>
      </c>
      <c r="H170" s="12">
        <f>F170/Combined_Summary!$B$23</f>
        <v>994.54125674040404</v>
      </c>
      <c r="I170" s="12">
        <f t="shared" si="4"/>
        <v>165.77805775518004</v>
      </c>
      <c r="J170" s="13">
        <f t="shared" si="5"/>
        <v>0.20003066974760264</v>
      </c>
    </row>
    <row r="171" spans="1:10" x14ac:dyDescent="0.35">
      <c r="A171" s="3">
        <v>21390</v>
      </c>
      <c r="B171" s="3">
        <v>230607</v>
      </c>
      <c r="C171" s="18">
        <v>279</v>
      </c>
      <c r="D171" s="18">
        <v>279</v>
      </c>
      <c r="E171" s="19">
        <v>137.51606113338099</v>
      </c>
      <c r="F171" s="19">
        <v>209.21862773826899</v>
      </c>
      <c r="G171" s="12">
        <f>E171/Combined_Summary!$B$23</f>
        <v>550.06424453352395</v>
      </c>
      <c r="H171" s="12">
        <f>F171/Combined_Summary!$B$23</f>
        <v>836.87451095307597</v>
      </c>
      <c r="I171" s="12">
        <f t="shared" si="4"/>
        <v>286.81026641955202</v>
      </c>
      <c r="J171" s="13">
        <f t="shared" si="5"/>
        <v>0.52141230641664116</v>
      </c>
    </row>
    <row r="172" spans="1:10" x14ac:dyDescent="0.35">
      <c r="A172" s="3">
        <v>21398</v>
      </c>
      <c r="B172" s="3">
        <v>232166</v>
      </c>
      <c r="C172" s="18">
        <v>749</v>
      </c>
      <c r="D172" s="18">
        <v>749</v>
      </c>
      <c r="E172" s="19">
        <v>319.25554921311902</v>
      </c>
      <c r="F172" s="19">
        <v>353.728059154964</v>
      </c>
      <c r="G172" s="12">
        <f>E172/Combined_Summary!$B$23</f>
        <v>1277.0221968524761</v>
      </c>
      <c r="H172" s="12">
        <f>F172/Combined_Summary!$B$23</f>
        <v>1414.912236619856</v>
      </c>
      <c r="I172" s="12">
        <f t="shared" si="4"/>
        <v>137.8900397673799</v>
      </c>
      <c r="J172" s="13">
        <f t="shared" si="5"/>
        <v>0.10797779404871943</v>
      </c>
    </row>
    <row r="173" spans="1:10" x14ac:dyDescent="0.35">
      <c r="A173" s="3">
        <v>21399</v>
      </c>
      <c r="B173" s="3">
        <v>224071</v>
      </c>
      <c r="C173" s="18">
        <v>854</v>
      </c>
      <c r="D173" s="18">
        <v>854</v>
      </c>
      <c r="E173" s="19">
        <v>331.81253833458101</v>
      </c>
      <c r="F173" s="19">
        <v>357.88014509750502</v>
      </c>
      <c r="G173" s="12">
        <f>E173/Combined_Summary!$B$23</f>
        <v>1327.250153338324</v>
      </c>
      <c r="H173" s="12">
        <f>F173/Combined_Summary!$B$23</f>
        <v>1431.5205803900201</v>
      </c>
      <c r="I173" s="12">
        <f t="shared" si="4"/>
        <v>104.27042705169606</v>
      </c>
      <c r="J173" s="13">
        <f t="shared" si="5"/>
        <v>7.8561246943112548E-2</v>
      </c>
    </row>
    <row r="174" spans="1:10" x14ac:dyDescent="0.35">
      <c r="A174" s="3">
        <v>21400</v>
      </c>
      <c r="B174" s="3">
        <v>232129</v>
      </c>
      <c r="C174" s="18">
        <v>577</v>
      </c>
      <c r="D174" s="18">
        <v>577</v>
      </c>
      <c r="E174" s="19">
        <v>338.04010241820902</v>
      </c>
      <c r="F174" s="19">
        <v>365.73720553181602</v>
      </c>
      <c r="G174" s="12">
        <f>E174/Combined_Summary!$B$23</f>
        <v>1352.1604096728361</v>
      </c>
      <c r="H174" s="12">
        <f>F174/Combined_Summary!$B$23</f>
        <v>1462.9488221272641</v>
      </c>
      <c r="I174" s="12">
        <f t="shared" si="4"/>
        <v>110.788412454428</v>
      </c>
      <c r="J174" s="13">
        <f t="shared" si="5"/>
        <v>8.193437084970856E-2</v>
      </c>
    </row>
    <row r="175" spans="1:10" x14ac:dyDescent="0.35">
      <c r="A175" s="3">
        <v>21407</v>
      </c>
      <c r="B175" s="3">
        <v>232165</v>
      </c>
      <c r="C175" s="18">
        <v>832</v>
      </c>
      <c r="D175" s="18">
        <v>832</v>
      </c>
      <c r="E175" s="19">
        <v>266.01319386408898</v>
      </c>
      <c r="F175" s="19">
        <v>313.60242008245899</v>
      </c>
      <c r="G175" s="12">
        <f>E175/Combined_Summary!$B$23</f>
        <v>1064.0527754563559</v>
      </c>
      <c r="H175" s="12">
        <f>F175/Combined_Summary!$B$23</f>
        <v>1254.409680329836</v>
      </c>
      <c r="I175" s="12">
        <f t="shared" si="4"/>
        <v>190.35690487348006</v>
      </c>
      <c r="J175" s="13">
        <f t="shared" si="5"/>
        <v>0.17889799196457987</v>
      </c>
    </row>
    <row r="176" spans="1:10" x14ac:dyDescent="0.35">
      <c r="A176" s="3">
        <v>21408</v>
      </c>
      <c r="B176" s="3">
        <v>224285</v>
      </c>
      <c r="C176" s="18">
        <v>584</v>
      </c>
      <c r="D176" s="18">
        <v>584</v>
      </c>
      <c r="E176" s="19">
        <v>307.00399129031501</v>
      </c>
      <c r="F176" s="19">
        <v>335.66302508524001</v>
      </c>
      <c r="G176" s="12">
        <f>E176/Combined_Summary!$B$23</f>
        <v>1228.0159651612601</v>
      </c>
      <c r="H176" s="12">
        <f>F176/Combined_Summary!$B$23</f>
        <v>1342.65210034096</v>
      </c>
      <c r="I176" s="12">
        <f t="shared" si="4"/>
        <v>114.63613517969998</v>
      </c>
      <c r="J176" s="13">
        <f t="shared" si="5"/>
        <v>9.3350687964912762E-2</v>
      </c>
    </row>
    <row r="177" spans="1:10" x14ac:dyDescent="0.35">
      <c r="A177" s="3">
        <v>21420</v>
      </c>
      <c r="B177" s="3">
        <v>224286</v>
      </c>
      <c r="C177" s="18">
        <v>495</v>
      </c>
      <c r="D177" s="18">
        <v>495</v>
      </c>
      <c r="E177" s="19">
        <v>322.69729806148598</v>
      </c>
      <c r="F177" s="19">
        <v>349.08631744384797</v>
      </c>
      <c r="G177" s="12">
        <f>E177/Combined_Summary!$B$23</f>
        <v>1290.7891922459439</v>
      </c>
      <c r="H177" s="12">
        <f>F177/Combined_Summary!$B$23</f>
        <v>1396.3452697753919</v>
      </c>
      <c r="I177" s="12">
        <f t="shared" si="4"/>
        <v>105.55607752944798</v>
      </c>
      <c r="J177" s="13">
        <f t="shared" si="5"/>
        <v>8.1776387781635193E-2</v>
      </c>
    </row>
    <row r="178" spans="1:10" x14ac:dyDescent="0.35">
      <c r="A178" s="3">
        <v>21429</v>
      </c>
      <c r="B178" s="3">
        <v>224368</v>
      </c>
      <c r="C178" s="18">
        <v>651</v>
      </c>
      <c r="D178" s="18">
        <v>651</v>
      </c>
      <c r="E178" s="19">
        <v>320.20136110976699</v>
      </c>
      <c r="F178" s="19">
        <v>347.34936968778499</v>
      </c>
      <c r="G178" s="12">
        <f>E178/Combined_Summary!$B$23</f>
        <v>1280.805444439068</v>
      </c>
      <c r="H178" s="12">
        <f>F178/Combined_Summary!$B$23</f>
        <v>1389.3974787511399</v>
      </c>
      <c r="I178" s="12">
        <f t="shared" si="4"/>
        <v>108.59203431207197</v>
      </c>
      <c r="J178" s="13">
        <f t="shared" si="5"/>
        <v>8.4784176069481132E-2</v>
      </c>
    </row>
    <row r="179" spans="1:10" x14ac:dyDescent="0.35">
      <c r="A179" s="3">
        <v>21430</v>
      </c>
      <c r="B179" s="3">
        <v>224309</v>
      </c>
      <c r="C179" s="18">
        <v>622</v>
      </c>
      <c r="D179" s="18">
        <v>622</v>
      </c>
      <c r="E179" s="19">
        <v>333.59079883489602</v>
      </c>
      <c r="F179" s="19">
        <v>359.27350951314401</v>
      </c>
      <c r="G179" s="12">
        <f>E179/Combined_Summary!$B$23</f>
        <v>1334.3631953395841</v>
      </c>
      <c r="H179" s="12">
        <f>F179/Combined_Summary!$B$23</f>
        <v>1437.094038052576</v>
      </c>
      <c r="I179" s="12">
        <f t="shared" si="4"/>
        <v>102.73084271299194</v>
      </c>
      <c r="J179" s="13">
        <f t="shared" si="5"/>
        <v>7.6988666258025668E-2</v>
      </c>
    </row>
    <row r="180" spans="1:10" x14ac:dyDescent="0.35">
      <c r="A180" s="3">
        <v>21431</v>
      </c>
      <c r="B180" s="3">
        <v>224312</v>
      </c>
      <c r="C180" s="18">
        <v>935</v>
      </c>
      <c r="D180" s="18">
        <v>935</v>
      </c>
      <c r="E180" s="19">
        <v>235.31393007492599</v>
      </c>
      <c r="F180" s="19">
        <v>284.62711805047797</v>
      </c>
      <c r="G180" s="12">
        <f>E180/Combined_Summary!$B$23</f>
        <v>941.25572029970397</v>
      </c>
      <c r="H180" s="12">
        <f>F180/Combined_Summary!$B$23</f>
        <v>1138.5084722019119</v>
      </c>
      <c r="I180" s="12">
        <f t="shared" si="4"/>
        <v>197.25275190220793</v>
      </c>
      <c r="J180" s="13">
        <f t="shared" si="5"/>
        <v>0.20956340306691676</v>
      </c>
    </row>
    <row r="181" spans="1:10" x14ac:dyDescent="0.35">
      <c r="A181" s="3">
        <v>21438</v>
      </c>
      <c r="B181" s="3">
        <v>224310</v>
      </c>
      <c r="C181" s="18">
        <v>520</v>
      </c>
      <c r="D181" s="18">
        <v>520</v>
      </c>
      <c r="E181" s="19">
        <v>244.05916728973401</v>
      </c>
      <c r="F181" s="19">
        <v>292.76330522390498</v>
      </c>
      <c r="G181" s="12">
        <f>E181/Combined_Summary!$B$23</f>
        <v>976.23666915893602</v>
      </c>
      <c r="H181" s="12">
        <f>F181/Combined_Summary!$B$23</f>
        <v>1171.0532208956199</v>
      </c>
      <c r="I181" s="12">
        <f t="shared" si="4"/>
        <v>194.81655173668389</v>
      </c>
      <c r="J181" s="13">
        <f t="shared" si="5"/>
        <v>0.19955873190516962</v>
      </c>
    </row>
    <row r="182" spans="1:10" x14ac:dyDescent="0.35">
      <c r="A182" s="3">
        <v>25935</v>
      </c>
      <c r="B182" s="3">
        <v>224026</v>
      </c>
      <c r="C182" s="18">
        <v>403</v>
      </c>
      <c r="D182" s="18">
        <v>403</v>
      </c>
      <c r="E182" s="19">
        <v>339.38176975297603</v>
      </c>
      <c r="F182" s="19">
        <v>369.186447957609</v>
      </c>
      <c r="G182" s="12">
        <f>E182/Combined_Summary!$B$23</f>
        <v>1357.5270790119041</v>
      </c>
      <c r="H182" s="12">
        <f>F182/Combined_Summary!$B$23</f>
        <v>1476.745791830436</v>
      </c>
      <c r="I182" s="12">
        <f t="shared" si="4"/>
        <v>119.21871281853191</v>
      </c>
      <c r="J182" s="13">
        <f t="shared" si="5"/>
        <v>8.7820504402245148E-2</v>
      </c>
    </row>
    <row r="183" spans="1:10" x14ac:dyDescent="0.35">
      <c r="A183" s="3">
        <v>25936</v>
      </c>
      <c r="B183" s="3">
        <v>645397</v>
      </c>
      <c r="C183" s="18">
        <v>16</v>
      </c>
      <c r="D183" s="18">
        <v>16</v>
      </c>
      <c r="E183" s="19">
        <v>299.52472972869901</v>
      </c>
      <c r="F183" s="19">
        <v>336.85922431945801</v>
      </c>
      <c r="G183" s="12">
        <f>E183/Combined_Summary!$B$23</f>
        <v>1198.0989189147961</v>
      </c>
      <c r="H183" s="12">
        <f>F183/Combined_Summary!$B$23</f>
        <v>1347.436897277832</v>
      </c>
      <c r="I183" s="12">
        <f t="shared" si="4"/>
        <v>149.33797836303597</v>
      </c>
      <c r="J183" s="13">
        <f t="shared" si="5"/>
        <v>0.12464578342020546</v>
      </c>
    </row>
    <row r="184" spans="1:10" x14ac:dyDescent="0.35">
      <c r="A184" s="3">
        <v>25937</v>
      </c>
      <c r="B184" s="3">
        <v>223953</v>
      </c>
      <c r="C184" s="18">
        <v>311</v>
      </c>
      <c r="D184" s="18">
        <v>311</v>
      </c>
      <c r="E184" s="19">
        <v>328.61606391833101</v>
      </c>
      <c r="F184" s="19">
        <v>357.75909384577199</v>
      </c>
      <c r="G184" s="12">
        <f>E184/Combined_Summary!$B$23</f>
        <v>1314.464255673324</v>
      </c>
      <c r="H184" s="12">
        <f>F184/Combined_Summary!$B$23</f>
        <v>1431.0363753830879</v>
      </c>
      <c r="I184" s="12">
        <f t="shared" si="4"/>
        <v>116.57211970976391</v>
      </c>
      <c r="J184" s="13">
        <f t="shared" si="5"/>
        <v>8.8684130592848076E-2</v>
      </c>
    </row>
    <row r="185" spans="1:10" x14ac:dyDescent="0.35">
      <c r="A185" s="3">
        <v>25938</v>
      </c>
      <c r="B185" s="3">
        <v>223895</v>
      </c>
      <c r="C185" s="18">
        <v>732</v>
      </c>
      <c r="D185" s="18">
        <v>732</v>
      </c>
      <c r="E185" s="19">
        <v>336.86999023937801</v>
      </c>
      <c r="F185" s="19">
        <v>353.584885977657</v>
      </c>
      <c r="G185" s="12">
        <f>E185/Combined_Summary!$B$23</f>
        <v>1347.479960957512</v>
      </c>
      <c r="H185" s="12">
        <f>F185/Combined_Summary!$B$23</f>
        <v>1414.339543910628</v>
      </c>
      <c r="I185" s="12">
        <f t="shared" si="4"/>
        <v>66.859582953115932</v>
      </c>
      <c r="J185" s="13">
        <f t="shared" si="5"/>
        <v>4.9618239150366193E-2</v>
      </c>
    </row>
    <row r="186" spans="1:10" x14ac:dyDescent="0.35">
      <c r="A186" s="3">
        <v>25952</v>
      </c>
      <c r="B186" s="3">
        <v>224076</v>
      </c>
      <c r="C186" s="18">
        <v>662</v>
      </c>
      <c r="D186" s="18">
        <v>662</v>
      </c>
      <c r="E186" s="19">
        <v>242.958051675756</v>
      </c>
      <c r="F186" s="19">
        <v>289.66886564179902</v>
      </c>
      <c r="G186" s="12">
        <f>E186/Combined_Summary!$B$23</f>
        <v>971.83220670302399</v>
      </c>
      <c r="H186" s="12">
        <f>F186/Combined_Summary!$B$23</f>
        <v>1158.6754625671961</v>
      </c>
      <c r="I186" s="12">
        <f t="shared" si="4"/>
        <v>186.84325586417208</v>
      </c>
      <c r="J186" s="13">
        <f t="shared" si="5"/>
        <v>0.19225876090075736</v>
      </c>
    </row>
    <row r="187" spans="1:10" x14ac:dyDescent="0.35">
      <c r="A187" s="3">
        <v>25960</v>
      </c>
      <c r="B187" s="3">
        <v>224033</v>
      </c>
      <c r="C187" s="18">
        <v>794</v>
      </c>
      <c r="D187" s="18">
        <v>794</v>
      </c>
      <c r="E187" s="19">
        <v>336.62145562256001</v>
      </c>
      <c r="F187" s="19">
        <v>362.768783002416</v>
      </c>
      <c r="G187" s="12">
        <f>E187/Combined_Summary!$B$23</f>
        <v>1346.48582249024</v>
      </c>
      <c r="H187" s="12">
        <f>F187/Combined_Summary!$B$23</f>
        <v>1451.075132009664</v>
      </c>
      <c r="I187" s="12">
        <f t="shared" si="4"/>
        <v>104.58930951942398</v>
      </c>
      <c r="J187" s="13">
        <f t="shared" si="5"/>
        <v>7.767575994672761E-2</v>
      </c>
    </row>
    <row r="188" spans="1:10" x14ac:dyDescent="0.35">
      <c r="A188" s="3">
        <v>25961</v>
      </c>
      <c r="B188" s="3">
        <v>223961</v>
      </c>
      <c r="C188" s="18">
        <v>979</v>
      </c>
      <c r="D188" s="18">
        <v>979</v>
      </c>
      <c r="E188" s="19">
        <v>317.51865464893399</v>
      </c>
      <c r="F188" s="19">
        <v>348.37443453639702</v>
      </c>
      <c r="G188" s="12">
        <f>E188/Combined_Summary!$B$23</f>
        <v>1270.074618595736</v>
      </c>
      <c r="H188" s="12">
        <f>F188/Combined_Summary!$B$23</f>
        <v>1393.4977381455881</v>
      </c>
      <c r="I188" s="12">
        <f t="shared" si="4"/>
        <v>123.42311954985212</v>
      </c>
      <c r="J188" s="13">
        <f t="shared" si="5"/>
        <v>9.7177849035606639E-2</v>
      </c>
    </row>
    <row r="189" spans="1:10" x14ac:dyDescent="0.35">
      <c r="A189" s="3">
        <v>25967</v>
      </c>
      <c r="B189" s="3">
        <v>232116</v>
      </c>
      <c r="C189" s="18">
        <v>574</v>
      </c>
      <c r="D189" s="18">
        <v>574</v>
      </c>
      <c r="E189" s="19">
        <v>335.67404397439498</v>
      </c>
      <c r="F189" s="19">
        <v>365.303750599718</v>
      </c>
      <c r="G189" s="12">
        <f>E189/Combined_Summary!$B$23</f>
        <v>1342.6961758975799</v>
      </c>
      <c r="H189" s="12">
        <f>F189/Combined_Summary!$B$23</f>
        <v>1461.215002398872</v>
      </c>
      <c r="I189" s="12">
        <f t="shared" si="4"/>
        <v>118.5188265012921</v>
      </c>
      <c r="J189" s="13">
        <f t="shared" si="5"/>
        <v>8.8269281337651356E-2</v>
      </c>
    </row>
    <row r="190" spans="1:10" x14ac:dyDescent="0.35">
      <c r="A190" s="3">
        <v>25978</v>
      </c>
      <c r="B190" s="3">
        <v>224098</v>
      </c>
      <c r="C190" s="18">
        <v>860</v>
      </c>
      <c r="D190" s="18">
        <v>860</v>
      </c>
      <c r="E190" s="19">
        <v>330.12956052824501</v>
      </c>
      <c r="F190" s="19">
        <v>358.23963394165003</v>
      </c>
      <c r="G190" s="12">
        <f>E190/Combined_Summary!$B$23</f>
        <v>1320.51824211298</v>
      </c>
      <c r="H190" s="12">
        <f>F190/Combined_Summary!$B$23</f>
        <v>1432.9585357666001</v>
      </c>
      <c r="I190" s="12">
        <f t="shared" si="4"/>
        <v>112.44029365362007</v>
      </c>
      <c r="J190" s="13">
        <f t="shared" si="5"/>
        <v>8.5148610649787584E-2</v>
      </c>
    </row>
    <row r="191" spans="1:10" x14ac:dyDescent="0.35">
      <c r="A191" s="3">
        <v>25979</v>
      </c>
      <c r="B191" s="3">
        <v>224088</v>
      </c>
      <c r="C191" s="18">
        <v>649</v>
      </c>
      <c r="D191" s="18">
        <v>649</v>
      </c>
      <c r="E191" s="19">
        <v>324.51613773293099</v>
      </c>
      <c r="F191" s="19">
        <v>351.93169378389399</v>
      </c>
      <c r="G191" s="12">
        <f>E191/Combined_Summary!$B$23</f>
        <v>1298.0645509317239</v>
      </c>
      <c r="H191" s="12">
        <f>F191/Combined_Summary!$B$23</f>
        <v>1407.726775135576</v>
      </c>
      <c r="I191" s="12">
        <f t="shared" si="4"/>
        <v>109.66222420385202</v>
      </c>
      <c r="J191" s="13">
        <f t="shared" si="5"/>
        <v>8.4481333478476653E-2</v>
      </c>
    </row>
    <row r="192" spans="1:10" x14ac:dyDescent="0.35">
      <c r="A192" s="3">
        <v>25980</v>
      </c>
      <c r="B192" s="3">
        <v>224053</v>
      </c>
      <c r="C192" s="18">
        <v>713</v>
      </c>
      <c r="D192" s="18">
        <v>713</v>
      </c>
      <c r="E192" s="19">
        <v>344.71200990609998</v>
      </c>
      <c r="F192" s="19">
        <v>368.86316666997698</v>
      </c>
      <c r="G192" s="12">
        <f>E192/Combined_Summary!$B$23</f>
        <v>1378.8480396243999</v>
      </c>
      <c r="H192" s="12">
        <f>F192/Combined_Summary!$B$23</f>
        <v>1475.4526666799079</v>
      </c>
      <c r="I192" s="12">
        <f t="shared" si="4"/>
        <v>96.60462705550799</v>
      </c>
      <c r="J192" s="13">
        <f t="shared" si="5"/>
        <v>7.0061837330401708E-2</v>
      </c>
    </row>
    <row r="193" spans="1:10" x14ac:dyDescent="0.35">
      <c r="A193" s="3">
        <v>25981</v>
      </c>
      <c r="B193" s="3">
        <v>232120</v>
      </c>
      <c r="C193" s="18">
        <v>556</v>
      </c>
      <c r="D193" s="18">
        <v>556</v>
      </c>
      <c r="E193" s="19">
        <v>330.297892570496</v>
      </c>
      <c r="F193" s="19">
        <v>358.29467365896102</v>
      </c>
      <c r="G193" s="12">
        <f>E193/Combined_Summary!$B$23</f>
        <v>1321.191570281984</v>
      </c>
      <c r="H193" s="12">
        <f>F193/Combined_Summary!$B$23</f>
        <v>1433.1786946358441</v>
      </c>
      <c r="I193" s="12">
        <f t="shared" si="4"/>
        <v>111.98712435386005</v>
      </c>
      <c r="J193" s="13">
        <f t="shared" si="5"/>
        <v>8.4762215315950337E-2</v>
      </c>
    </row>
    <row r="194" spans="1:10" x14ac:dyDescent="0.35">
      <c r="A194" s="3">
        <v>25982</v>
      </c>
      <c r="B194" s="3">
        <v>223891</v>
      </c>
      <c r="C194" s="18">
        <v>760</v>
      </c>
      <c r="D194" s="18">
        <v>760</v>
      </c>
      <c r="E194" s="19">
        <v>326.874731430255</v>
      </c>
      <c r="F194" s="19">
        <v>357.29081205066899</v>
      </c>
      <c r="G194" s="12">
        <f>E194/Combined_Summary!$B$23</f>
        <v>1307.49892572102</v>
      </c>
      <c r="H194" s="12">
        <f>F194/Combined_Summary!$B$23</f>
        <v>1429.163248202676</v>
      </c>
      <c r="I194" s="12">
        <f t="shared" ref="I194:I257" si="6">H194-G194</f>
        <v>121.66432248165597</v>
      </c>
      <c r="J194" s="13">
        <f t="shared" ref="J194:J257" si="7">IF(G194=0,"",I194/G194)</f>
        <v>9.3051183514024083E-2</v>
      </c>
    </row>
    <row r="195" spans="1:10" x14ac:dyDescent="0.35">
      <c r="A195" s="3">
        <v>25989</v>
      </c>
      <c r="B195" s="3">
        <v>649943</v>
      </c>
      <c r="C195" s="18">
        <v>16</v>
      </c>
      <c r="D195" s="18">
        <v>16</v>
      </c>
      <c r="E195" s="19">
        <v>259.38208389282198</v>
      </c>
      <c r="F195" s="19">
        <v>303.17074394226103</v>
      </c>
      <c r="G195" s="12">
        <f>E195/Combined_Summary!$B$23</f>
        <v>1037.5283355712879</v>
      </c>
      <c r="H195" s="12">
        <f>F195/Combined_Summary!$B$23</f>
        <v>1212.6829757690441</v>
      </c>
      <c r="I195" s="12">
        <f t="shared" si="6"/>
        <v>175.15464019775618</v>
      </c>
      <c r="J195" s="13">
        <f t="shared" si="7"/>
        <v>0.16881913890217934</v>
      </c>
    </row>
    <row r="196" spans="1:10" x14ac:dyDescent="0.35">
      <c r="A196" s="3">
        <v>26000</v>
      </c>
      <c r="B196" s="3">
        <v>224104</v>
      </c>
      <c r="C196" s="18">
        <v>613</v>
      </c>
      <c r="D196" s="18">
        <v>613</v>
      </c>
      <c r="E196" s="19">
        <v>327.75011662519</v>
      </c>
      <c r="F196" s="19">
        <v>356.32289882740798</v>
      </c>
      <c r="G196" s="12">
        <f>E196/Combined_Summary!$B$23</f>
        <v>1311.00046650076</v>
      </c>
      <c r="H196" s="12">
        <f>F196/Combined_Summary!$B$23</f>
        <v>1425.2915953096319</v>
      </c>
      <c r="I196" s="12">
        <f t="shared" si="6"/>
        <v>114.29112880887192</v>
      </c>
      <c r="J196" s="13">
        <f t="shared" si="7"/>
        <v>8.7178556933645193E-2</v>
      </c>
    </row>
    <row r="197" spans="1:10" x14ac:dyDescent="0.35">
      <c r="A197" s="3">
        <v>26001</v>
      </c>
      <c r="B197" s="3">
        <v>224097</v>
      </c>
      <c r="C197" s="18">
        <v>439</v>
      </c>
      <c r="D197" s="18">
        <v>439</v>
      </c>
      <c r="E197" s="19">
        <v>326.03097049304699</v>
      </c>
      <c r="F197" s="19">
        <v>358.23888140007102</v>
      </c>
      <c r="G197" s="12">
        <f>E197/Combined_Summary!$B$23</f>
        <v>1304.123881972188</v>
      </c>
      <c r="H197" s="12">
        <f>F197/Combined_Summary!$B$23</f>
        <v>1432.9555256002841</v>
      </c>
      <c r="I197" s="12">
        <f t="shared" si="6"/>
        <v>128.83164362809612</v>
      </c>
      <c r="J197" s="13">
        <f t="shared" si="7"/>
        <v>9.8787887722190798E-2</v>
      </c>
    </row>
    <row r="198" spans="1:10" x14ac:dyDescent="0.35">
      <c r="A198" s="3">
        <v>26002</v>
      </c>
      <c r="B198" s="3">
        <v>232135</v>
      </c>
      <c r="C198" s="18">
        <v>405</v>
      </c>
      <c r="D198" s="18">
        <v>405</v>
      </c>
      <c r="E198" s="19">
        <v>311.50203872492301</v>
      </c>
      <c r="F198" s="19">
        <v>350.53578732337502</v>
      </c>
      <c r="G198" s="12">
        <f>E198/Combined_Summary!$B$23</f>
        <v>1246.008154899692</v>
      </c>
      <c r="H198" s="12">
        <f>F198/Combined_Summary!$B$23</f>
        <v>1402.1431492935001</v>
      </c>
      <c r="I198" s="12">
        <f t="shared" si="6"/>
        <v>156.13499439380803</v>
      </c>
      <c r="J198" s="13">
        <f t="shared" si="7"/>
        <v>0.12530816413988674</v>
      </c>
    </row>
    <row r="199" spans="1:10" x14ac:dyDescent="0.35">
      <c r="A199" s="3">
        <v>26009</v>
      </c>
      <c r="B199" s="3">
        <v>224075</v>
      </c>
      <c r="C199" s="18">
        <v>674</v>
      </c>
      <c r="D199" s="18">
        <v>674</v>
      </c>
      <c r="E199" s="19">
        <v>307.11596745341097</v>
      </c>
      <c r="F199" s="19">
        <v>335.22464738613797</v>
      </c>
      <c r="G199" s="12">
        <f>E199/Combined_Summary!$B$23</f>
        <v>1228.4638698136439</v>
      </c>
      <c r="H199" s="12">
        <f>F199/Combined_Summary!$B$23</f>
        <v>1340.8985895445519</v>
      </c>
      <c r="I199" s="12">
        <f t="shared" si="6"/>
        <v>112.434719730908</v>
      </c>
      <c r="J199" s="13">
        <f t="shared" si="7"/>
        <v>9.1524645122826584E-2</v>
      </c>
    </row>
    <row r="200" spans="1:10" x14ac:dyDescent="0.35">
      <c r="A200" s="3">
        <v>26010</v>
      </c>
      <c r="B200" s="3">
        <v>230612</v>
      </c>
      <c r="C200" s="18">
        <v>175</v>
      </c>
      <c r="D200" s="18">
        <v>175</v>
      </c>
      <c r="E200" s="19">
        <v>311.581960885184</v>
      </c>
      <c r="F200" s="19">
        <v>354.990251988002</v>
      </c>
      <c r="G200" s="12">
        <f>E200/Combined_Summary!$B$23</f>
        <v>1246.327843540736</v>
      </c>
      <c r="H200" s="12">
        <f>F200/Combined_Summary!$B$23</f>
        <v>1419.961007952008</v>
      </c>
      <c r="I200" s="12">
        <f t="shared" si="6"/>
        <v>173.63316441127199</v>
      </c>
      <c r="J200" s="13">
        <f t="shared" si="7"/>
        <v>0.13931580306991417</v>
      </c>
    </row>
    <row r="201" spans="1:10" x14ac:dyDescent="0.35">
      <c r="A201" s="3">
        <v>26011</v>
      </c>
      <c r="B201" s="3">
        <v>223976</v>
      </c>
      <c r="C201" s="18">
        <v>642</v>
      </c>
      <c r="D201" s="18">
        <v>642</v>
      </c>
      <c r="E201" s="19">
        <v>336.159640018071</v>
      </c>
      <c r="F201" s="19">
        <v>358.99963061608997</v>
      </c>
      <c r="G201" s="12">
        <f>E201/Combined_Summary!$B$23</f>
        <v>1344.638560072284</v>
      </c>
      <c r="H201" s="12">
        <f>F201/Combined_Summary!$B$23</f>
        <v>1435.9985224643599</v>
      </c>
      <c r="I201" s="12">
        <f t="shared" si="6"/>
        <v>91.359962392075886</v>
      </c>
      <c r="J201" s="13">
        <f t="shared" si="7"/>
        <v>6.7943881058389874E-2</v>
      </c>
    </row>
    <row r="202" spans="1:10" x14ac:dyDescent="0.35">
      <c r="A202" s="3">
        <v>26021</v>
      </c>
      <c r="B202" s="3">
        <v>224203</v>
      </c>
      <c r="C202" s="18">
        <v>832</v>
      </c>
      <c r="D202" s="18">
        <v>832</v>
      </c>
      <c r="E202" s="19">
        <v>335.26464823117601</v>
      </c>
      <c r="F202" s="19">
        <v>359.815774780053</v>
      </c>
      <c r="G202" s="12">
        <f>E202/Combined_Summary!$B$23</f>
        <v>1341.058592924704</v>
      </c>
      <c r="H202" s="12">
        <f>F202/Combined_Summary!$B$23</f>
        <v>1439.263099120212</v>
      </c>
      <c r="I202" s="12">
        <f t="shared" si="6"/>
        <v>98.204506195507975</v>
      </c>
      <c r="J202" s="13">
        <f t="shared" si="7"/>
        <v>7.3229094324159652E-2</v>
      </c>
    </row>
    <row r="203" spans="1:10" x14ac:dyDescent="0.35">
      <c r="A203" s="3">
        <v>26022</v>
      </c>
      <c r="B203" s="3">
        <v>224047</v>
      </c>
      <c r="C203" s="18">
        <v>608</v>
      </c>
      <c r="D203" s="18">
        <v>608</v>
      </c>
      <c r="E203" s="19">
        <v>325.66515744987299</v>
      </c>
      <c r="F203" s="19">
        <v>352.47896959907098</v>
      </c>
      <c r="G203" s="12">
        <f>E203/Combined_Summary!$B$23</f>
        <v>1302.660629799492</v>
      </c>
      <c r="H203" s="12">
        <f>F203/Combined_Summary!$B$23</f>
        <v>1409.9158783962839</v>
      </c>
      <c r="I203" s="12">
        <f t="shared" si="6"/>
        <v>107.25524859679194</v>
      </c>
      <c r="J203" s="13">
        <f t="shared" si="7"/>
        <v>8.2335526339888596E-2</v>
      </c>
    </row>
    <row r="204" spans="1:10" x14ac:dyDescent="0.35">
      <c r="A204" s="3">
        <v>26023</v>
      </c>
      <c r="B204" s="3">
        <v>223978</v>
      </c>
      <c r="C204" s="18">
        <v>478</v>
      </c>
      <c r="D204" s="18">
        <v>478</v>
      </c>
      <c r="E204" s="19">
        <v>338.22980795345597</v>
      </c>
      <c r="F204" s="19">
        <v>356.68215321496899</v>
      </c>
      <c r="G204" s="12">
        <f>E204/Combined_Summary!$B$23</f>
        <v>1352.9192318138239</v>
      </c>
      <c r="H204" s="12">
        <f>F204/Combined_Summary!$B$23</f>
        <v>1426.728612859876</v>
      </c>
      <c r="I204" s="12">
        <f t="shared" si="6"/>
        <v>73.809381046052067</v>
      </c>
      <c r="J204" s="13">
        <f t="shared" si="7"/>
        <v>5.4555644794181644E-2</v>
      </c>
    </row>
    <row r="205" spans="1:10" x14ac:dyDescent="0.35">
      <c r="A205" s="3">
        <v>26031</v>
      </c>
      <c r="B205" s="3">
        <v>224195</v>
      </c>
      <c r="C205" s="18">
        <v>520</v>
      </c>
      <c r="D205" s="18">
        <v>520</v>
      </c>
      <c r="E205" s="19">
        <v>311.97066721549402</v>
      </c>
      <c r="F205" s="19">
        <v>325.84582418295099</v>
      </c>
      <c r="G205" s="12">
        <f>E205/Combined_Summary!$B$23</f>
        <v>1247.8826688619761</v>
      </c>
      <c r="H205" s="12">
        <f>F205/Combined_Summary!$B$23</f>
        <v>1303.383296731804</v>
      </c>
      <c r="I205" s="12">
        <f t="shared" si="6"/>
        <v>55.500627869827895</v>
      </c>
      <c r="J205" s="13">
        <f t="shared" si="7"/>
        <v>4.4475838357818098E-2</v>
      </c>
    </row>
    <row r="206" spans="1:10" x14ac:dyDescent="0.35">
      <c r="A206" s="3">
        <v>26032</v>
      </c>
      <c r="B206" s="3">
        <v>224164</v>
      </c>
      <c r="C206" s="18">
        <v>1123</v>
      </c>
      <c r="D206" s="18">
        <v>1123</v>
      </c>
      <c r="E206" s="19">
        <v>331.73244446086102</v>
      </c>
      <c r="F206" s="19">
        <v>352.63870585739699</v>
      </c>
      <c r="G206" s="12">
        <f>E206/Combined_Summary!$B$23</f>
        <v>1326.9297778434441</v>
      </c>
      <c r="H206" s="12">
        <f>F206/Combined_Summary!$B$23</f>
        <v>1410.5548234295879</v>
      </c>
      <c r="I206" s="12">
        <f t="shared" si="6"/>
        <v>83.62504558614387</v>
      </c>
      <c r="J206" s="13">
        <f t="shared" si="7"/>
        <v>6.3021455228816373E-2</v>
      </c>
    </row>
    <row r="207" spans="1:10" x14ac:dyDescent="0.35">
      <c r="A207" s="3">
        <v>26033</v>
      </c>
      <c r="B207" s="3">
        <v>223345</v>
      </c>
      <c r="C207" s="18">
        <v>749</v>
      </c>
      <c r="D207" s="18">
        <v>749</v>
      </c>
      <c r="E207" s="19">
        <v>316.54661784153001</v>
      </c>
      <c r="F207" s="19">
        <v>342.52394990195302</v>
      </c>
      <c r="G207" s="12">
        <f>E207/Combined_Summary!$B$23</f>
        <v>1266.18647136612</v>
      </c>
      <c r="H207" s="12">
        <f>F207/Combined_Summary!$B$23</f>
        <v>1370.0957996078121</v>
      </c>
      <c r="I207" s="12">
        <f t="shared" si="6"/>
        <v>103.90932824169204</v>
      </c>
      <c r="J207" s="13">
        <f t="shared" si="7"/>
        <v>8.2064791080559946E-2</v>
      </c>
    </row>
    <row r="208" spans="1:10" x14ac:dyDescent="0.35">
      <c r="A208" s="3">
        <v>26040</v>
      </c>
      <c r="B208" s="3">
        <v>224297</v>
      </c>
      <c r="C208" s="18">
        <v>549</v>
      </c>
      <c r="D208" s="18">
        <v>549</v>
      </c>
      <c r="E208" s="19">
        <v>328.28812971271498</v>
      </c>
      <c r="F208" s="19">
        <v>364.40463932224998</v>
      </c>
      <c r="G208" s="12">
        <f>E208/Combined_Summary!$B$23</f>
        <v>1313.1525188508599</v>
      </c>
      <c r="H208" s="12">
        <f>F208/Combined_Summary!$B$23</f>
        <v>1457.6185572889999</v>
      </c>
      <c r="I208" s="12">
        <f t="shared" si="6"/>
        <v>144.46603843814</v>
      </c>
      <c r="J208" s="13">
        <f t="shared" si="7"/>
        <v>0.11001466803304941</v>
      </c>
    </row>
    <row r="209" spans="1:10" x14ac:dyDescent="0.35">
      <c r="A209" s="3">
        <v>26041</v>
      </c>
      <c r="B209" s="3">
        <v>230625</v>
      </c>
      <c r="C209" s="18">
        <v>145</v>
      </c>
      <c r="D209" s="18">
        <v>145</v>
      </c>
      <c r="E209" s="19">
        <v>285.32353599811398</v>
      </c>
      <c r="F209" s="19">
        <v>316.41346204034198</v>
      </c>
      <c r="G209" s="12">
        <f>E209/Combined_Summary!$B$23</f>
        <v>1141.2941439924559</v>
      </c>
      <c r="H209" s="12">
        <f>F209/Combined_Summary!$B$23</f>
        <v>1265.6538481613679</v>
      </c>
      <c r="I209" s="12">
        <f t="shared" si="6"/>
        <v>124.359704168912</v>
      </c>
      <c r="J209" s="13">
        <f t="shared" si="7"/>
        <v>0.1089637626053867</v>
      </c>
    </row>
    <row r="210" spans="1:10" x14ac:dyDescent="0.35">
      <c r="A210" s="3">
        <v>26042</v>
      </c>
      <c r="B210" s="3">
        <v>224173</v>
      </c>
      <c r="C210" s="18">
        <v>852</v>
      </c>
      <c r="D210" s="18">
        <v>852</v>
      </c>
      <c r="E210" s="19">
        <v>191.71780678476</v>
      </c>
      <c r="F210" s="19">
        <v>237.57548669806101</v>
      </c>
      <c r="G210" s="12">
        <f>E210/Combined_Summary!$B$23</f>
        <v>766.87122713904</v>
      </c>
      <c r="H210" s="12">
        <f>F210/Combined_Summary!$B$23</f>
        <v>950.30194679224405</v>
      </c>
      <c r="I210" s="12">
        <f t="shared" si="6"/>
        <v>183.43071965320405</v>
      </c>
      <c r="J210" s="13">
        <f t="shared" si="7"/>
        <v>0.23919363924700562</v>
      </c>
    </row>
    <row r="211" spans="1:10" x14ac:dyDescent="0.35">
      <c r="A211" s="3">
        <v>26047</v>
      </c>
      <c r="B211" s="3">
        <v>224364</v>
      </c>
      <c r="C211" s="18">
        <v>752</v>
      </c>
      <c r="D211" s="18">
        <v>752</v>
      </c>
      <c r="E211" s="19">
        <v>311.99809621242798</v>
      </c>
      <c r="F211" s="19">
        <v>342.26164882741102</v>
      </c>
      <c r="G211" s="12">
        <f>E211/Combined_Summary!$B$23</f>
        <v>1247.9923848497119</v>
      </c>
      <c r="H211" s="12">
        <f>F211/Combined_Summary!$B$23</f>
        <v>1369.0465953096441</v>
      </c>
      <c r="I211" s="12">
        <f t="shared" si="6"/>
        <v>121.05421045993216</v>
      </c>
      <c r="J211" s="13">
        <f t="shared" si="7"/>
        <v>9.6999157951200149E-2</v>
      </c>
    </row>
    <row r="212" spans="1:10" x14ac:dyDescent="0.35">
      <c r="A212" s="3">
        <v>26048</v>
      </c>
      <c r="B212" s="3">
        <v>757236</v>
      </c>
      <c r="C212" s="18">
        <v>1518</v>
      </c>
      <c r="D212" s="18">
        <v>1518</v>
      </c>
      <c r="E212" s="19">
        <v>227.94619560493001</v>
      </c>
      <c r="F212" s="19">
        <v>272.896651995512</v>
      </c>
      <c r="G212" s="12">
        <f>E212/Combined_Summary!$B$23</f>
        <v>911.78478241972005</v>
      </c>
      <c r="H212" s="12">
        <f>F212/Combined_Summary!$B$23</f>
        <v>1091.586607982048</v>
      </c>
      <c r="I212" s="12">
        <f t="shared" si="6"/>
        <v>179.80182556232796</v>
      </c>
      <c r="J212" s="13">
        <f t="shared" si="7"/>
        <v>0.19719766004995701</v>
      </c>
    </row>
    <row r="213" spans="1:10" x14ac:dyDescent="0.35">
      <c r="A213" s="3">
        <v>26066</v>
      </c>
      <c r="B213" s="3">
        <v>224158</v>
      </c>
      <c r="C213" s="18">
        <v>548</v>
      </c>
      <c r="D213" s="18">
        <v>548</v>
      </c>
      <c r="E213" s="19">
        <v>326.365505190661</v>
      </c>
      <c r="F213" s="19">
        <v>349.56294399456402</v>
      </c>
      <c r="G213" s="12">
        <f>E213/Combined_Summary!$B$23</f>
        <v>1305.462020762644</v>
      </c>
      <c r="H213" s="12">
        <f>F213/Combined_Summary!$B$23</f>
        <v>1398.2517759782561</v>
      </c>
      <c r="I213" s="12">
        <f t="shared" si="6"/>
        <v>92.789755215612104</v>
      </c>
      <c r="J213" s="13">
        <f t="shared" si="7"/>
        <v>7.1078096290694712E-2</v>
      </c>
    </row>
    <row r="214" spans="1:10" x14ac:dyDescent="0.35">
      <c r="A214" s="3">
        <v>26082</v>
      </c>
      <c r="B214" s="3">
        <v>224287</v>
      </c>
      <c r="C214" s="18">
        <v>932</v>
      </c>
      <c r="D214" s="18">
        <v>932</v>
      </c>
      <c r="E214" s="19">
        <v>343.92719961338298</v>
      </c>
      <c r="F214" s="19">
        <v>363.80338235781397</v>
      </c>
      <c r="G214" s="12">
        <f>E214/Combined_Summary!$B$23</f>
        <v>1375.7087984535319</v>
      </c>
      <c r="H214" s="12">
        <f>F214/Combined_Summary!$B$23</f>
        <v>1455.2135294312559</v>
      </c>
      <c r="I214" s="12">
        <f t="shared" si="6"/>
        <v>79.504730977723966</v>
      </c>
      <c r="J214" s="13">
        <f t="shared" si="7"/>
        <v>5.7791831430530349E-2</v>
      </c>
    </row>
    <row r="215" spans="1:10" x14ac:dyDescent="0.35">
      <c r="A215" s="3">
        <v>26102</v>
      </c>
      <c r="B215" s="3">
        <v>649188</v>
      </c>
      <c r="C215" s="18">
        <v>16</v>
      </c>
      <c r="D215" s="18">
        <v>16</v>
      </c>
      <c r="E215" s="19">
        <v>281.12766361236601</v>
      </c>
      <c r="F215" s="19">
        <v>319.69197463989298</v>
      </c>
      <c r="G215" s="12">
        <f>E215/Combined_Summary!$B$23</f>
        <v>1124.510654449464</v>
      </c>
      <c r="H215" s="12">
        <f>F215/Combined_Summary!$B$23</f>
        <v>1278.7678985595719</v>
      </c>
      <c r="I215" s="12">
        <f t="shared" si="6"/>
        <v>154.25724411010788</v>
      </c>
      <c r="J215" s="13">
        <f t="shared" si="7"/>
        <v>0.13717721881935291</v>
      </c>
    </row>
    <row r="216" spans="1:10" x14ac:dyDescent="0.35">
      <c r="A216" s="3">
        <v>30524</v>
      </c>
      <c r="B216" s="3">
        <v>224003</v>
      </c>
      <c r="C216" s="18">
        <v>310</v>
      </c>
      <c r="D216" s="18">
        <v>310</v>
      </c>
      <c r="E216" s="19">
        <v>354.05926363545098</v>
      </c>
      <c r="F216" s="19">
        <v>379.59000431183898</v>
      </c>
      <c r="G216" s="12">
        <f>E216/Combined_Summary!$B$23</f>
        <v>1416.2370545418039</v>
      </c>
      <c r="H216" s="12">
        <f>F216/Combined_Summary!$B$23</f>
        <v>1518.3600172473559</v>
      </c>
      <c r="I216" s="12">
        <f t="shared" si="6"/>
        <v>102.12296270555203</v>
      </c>
      <c r="J216" s="13">
        <f t="shared" si="7"/>
        <v>7.2108664561521402E-2</v>
      </c>
    </row>
    <row r="217" spans="1:10" x14ac:dyDescent="0.35">
      <c r="A217" s="3">
        <v>30525</v>
      </c>
      <c r="B217" s="3">
        <v>224022</v>
      </c>
      <c r="C217" s="18">
        <v>139</v>
      </c>
      <c r="D217" s="18">
        <v>139</v>
      </c>
      <c r="E217" s="19">
        <v>340.45766564238801</v>
      </c>
      <c r="F217" s="19">
        <v>367.89698012098103</v>
      </c>
      <c r="G217" s="12">
        <f>E217/Combined_Summary!$B$23</f>
        <v>1361.830662569552</v>
      </c>
      <c r="H217" s="12">
        <f>F217/Combined_Summary!$B$23</f>
        <v>1471.5879204839241</v>
      </c>
      <c r="I217" s="12">
        <f t="shared" si="6"/>
        <v>109.75725791437208</v>
      </c>
      <c r="J217" s="13">
        <f t="shared" si="7"/>
        <v>8.059537865543287E-2</v>
      </c>
    </row>
    <row r="218" spans="1:10" x14ac:dyDescent="0.35">
      <c r="A218" s="3">
        <v>30526</v>
      </c>
      <c r="B218" s="3">
        <v>224023</v>
      </c>
      <c r="C218" s="18">
        <v>217</v>
      </c>
      <c r="D218" s="18">
        <v>217</v>
      </c>
      <c r="E218" s="19">
        <v>310.46992362589299</v>
      </c>
      <c r="F218" s="19">
        <v>338.84695599815302</v>
      </c>
      <c r="G218" s="12">
        <f>E218/Combined_Summary!$B$23</f>
        <v>1241.879694503572</v>
      </c>
      <c r="H218" s="12">
        <f>F218/Combined_Summary!$B$23</f>
        <v>1355.3878239926121</v>
      </c>
      <c r="I218" s="12">
        <f t="shared" si="6"/>
        <v>113.50812948904013</v>
      </c>
      <c r="J218" s="13">
        <f t="shared" si="7"/>
        <v>9.1400262031350613E-2</v>
      </c>
    </row>
    <row r="219" spans="1:10" x14ac:dyDescent="0.35">
      <c r="A219" s="3">
        <v>30527</v>
      </c>
      <c r="B219" s="3">
        <v>224160</v>
      </c>
      <c r="C219" s="18">
        <v>540</v>
      </c>
      <c r="D219" s="18">
        <v>540</v>
      </c>
      <c r="E219" s="19">
        <v>331.87679858737499</v>
      </c>
      <c r="F219" s="19">
        <v>358.06298860620598</v>
      </c>
      <c r="G219" s="12">
        <f>E219/Combined_Summary!$B$23</f>
        <v>1327.5071943495</v>
      </c>
      <c r="H219" s="12">
        <f>F219/Combined_Summary!$B$23</f>
        <v>1432.2519544248239</v>
      </c>
      <c r="I219" s="12">
        <f t="shared" si="6"/>
        <v>104.74476007532394</v>
      </c>
      <c r="J219" s="13">
        <f t="shared" si="7"/>
        <v>7.8903346453538858E-2</v>
      </c>
    </row>
    <row r="220" spans="1:10" x14ac:dyDescent="0.35">
      <c r="A220" s="3">
        <v>30528</v>
      </c>
      <c r="B220" s="3">
        <v>223972</v>
      </c>
      <c r="C220" s="18">
        <v>488</v>
      </c>
      <c r="D220" s="18">
        <v>488</v>
      </c>
      <c r="E220" s="19">
        <v>335.30527887187998</v>
      </c>
      <c r="F220" s="19">
        <v>361.18941103825802</v>
      </c>
      <c r="G220" s="12">
        <f>E220/Combined_Summary!$B$23</f>
        <v>1341.2211154875199</v>
      </c>
      <c r="H220" s="12">
        <f>F220/Combined_Summary!$B$23</f>
        <v>1444.7576441530321</v>
      </c>
      <c r="I220" s="12">
        <f t="shared" si="6"/>
        <v>103.53652866551215</v>
      </c>
      <c r="J220" s="13">
        <f t="shared" si="7"/>
        <v>7.7195719236702973E-2</v>
      </c>
    </row>
    <row r="221" spans="1:10" x14ac:dyDescent="0.35">
      <c r="A221" s="3">
        <v>30540</v>
      </c>
      <c r="B221" s="3">
        <v>224027</v>
      </c>
      <c r="C221" s="18">
        <v>3219</v>
      </c>
      <c r="D221" s="18">
        <v>3219</v>
      </c>
      <c r="E221" s="19">
        <v>341.74600402936301</v>
      </c>
      <c r="F221" s="19">
        <v>369.16923925868502</v>
      </c>
      <c r="G221" s="12">
        <f>E221/Combined_Summary!$B$23</f>
        <v>1366.984016117452</v>
      </c>
      <c r="H221" s="12">
        <f>F221/Combined_Summary!$B$23</f>
        <v>1476.6769570347401</v>
      </c>
      <c r="I221" s="12">
        <f t="shared" si="6"/>
        <v>109.69294091728807</v>
      </c>
      <c r="J221" s="13">
        <f t="shared" si="7"/>
        <v>8.024449417400005E-2</v>
      </c>
    </row>
    <row r="222" spans="1:10" x14ac:dyDescent="0.35">
      <c r="A222" s="3">
        <v>30541</v>
      </c>
      <c r="B222" s="3">
        <v>232126</v>
      </c>
      <c r="C222" s="18">
        <v>459</v>
      </c>
      <c r="D222" s="18">
        <v>459</v>
      </c>
      <c r="E222" s="19">
        <v>316.10414442673198</v>
      </c>
      <c r="F222" s="19">
        <v>349.51473460477899</v>
      </c>
      <c r="G222" s="12">
        <f>E222/Combined_Summary!$B$23</f>
        <v>1264.4165777069279</v>
      </c>
      <c r="H222" s="12">
        <f>F222/Combined_Summary!$B$23</f>
        <v>1398.058938419116</v>
      </c>
      <c r="I222" s="12">
        <f t="shared" si="6"/>
        <v>133.64236071218807</v>
      </c>
      <c r="J222" s="13">
        <f t="shared" si="7"/>
        <v>0.10569488178852736</v>
      </c>
    </row>
    <row r="223" spans="1:10" x14ac:dyDescent="0.35">
      <c r="A223" s="3">
        <v>30542</v>
      </c>
      <c r="B223" s="3">
        <v>223905</v>
      </c>
      <c r="C223" s="18">
        <v>1244</v>
      </c>
      <c r="D223" s="18">
        <v>1244</v>
      </c>
      <c r="E223" s="19">
        <v>306.18647199735</v>
      </c>
      <c r="F223" s="19">
        <v>336.92973820726201</v>
      </c>
      <c r="G223" s="12">
        <f>E223/Combined_Summary!$B$23</f>
        <v>1224.7458879894</v>
      </c>
      <c r="H223" s="12">
        <f>F223/Combined_Summary!$B$23</f>
        <v>1347.718952829048</v>
      </c>
      <c r="I223" s="12">
        <f t="shared" si="6"/>
        <v>122.97306483964803</v>
      </c>
      <c r="J223" s="13">
        <f t="shared" si="7"/>
        <v>0.10040700364507968</v>
      </c>
    </row>
    <row r="224" spans="1:10" x14ac:dyDescent="0.35">
      <c r="A224" s="3">
        <v>30556</v>
      </c>
      <c r="B224" s="3">
        <v>224029</v>
      </c>
      <c r="C224" s="18">
        <v>782</v>
      </c>
      <c r="D224" s="18">
        <v>782</v>
      </c>
      <c r="E224" s="19">
        <v>344.976285217363</v>
      </c>
      <c r="F224" s="19">
        <v>375.604001408648</v>
      </c>
      <c r="G224" s="12">
        <f>E224/Combined_Summary!$B$23</f>
        <v>1379.905140869452</v>
      </c>
      <c r="H224" s="12">
        <f>F224/Combined_Summary!$B$23</f>
        <v>1502.416005634592</v>
      </c>
      <c r="I224" s="12">
        <f t="shared" si="6"/>
        <v>122.51086476514001</v>
      </c>
      <c r="J224" s="13">
        <f t="shared" si="7"/>
        <v>8.8782091708092523E-2</v>
      </c>
    </row>
    <row r="225" spans="1:10" x14ac:dyDescent="0.35">
      <c r="A225" s="3">
        <v>30557</v>
      </c>
      <c r="B225" s="3">
        <v>223968</v>
      </c>
      <c r="C225" s="18">
        <v>546</v>
      </c>
      <c r="D225" s="18">
        <v>546</v>
      </c>
      <c r="E225" s="19">
        <v>327.45058353829302</v>
      </c>
      <c r="F225" s="19">
        <v>353.96801123427002</v>
      </c>
      <c r="G225" s="12">
        <f>E225/Combined_Summary!$B$23</f>
        <v>1309.8023341531721</v>
      </c>
      <c r="H225" s="12">
        <f>F225/Combined_Summary!$B$23</f>
        <v>1415.8720449370801</v>
      </c>
      <c r="I225" s="12">
        <f t="shared" si="6"/>
        <v>106.06971078390802</v>
      </c>
      <c r="J225" s="13">
        <f t="shared" si="7"/>
        <v>8.098146416305281E-2</v>
      </c>
    </row>
    <row r="226" spans="1:10" x14ac:dyDescent="0.35">
      <c r="A226" s="3">
        <v>30568</v>
      </c>
      <c r="B226" s="3">
        <v>224032</v>
      </c>
      <c r="C226" s="18">
        <v>724</v>
      </c>
      <c r="D226" s="18">
        <v>724</v>
      </c>
      <c r="E226" s="19">
        <v>354.82264129891598</v>
      </c>
      <c r="F226" s="19">
        <v>384.19445927235301</v>
      </c>
      <c r="G226" s="12">
        <f>E226/Combined_Summary!$B$23</f>
        <v>1419.2905651956639</v>
      </c>
      <c r="H226" s="12">
        <f>F226/Combined_Summary!$B$23</f>
        <v>1536.7778370894121</v>
      </c>
      <c r="I226" s="12">
        <f t="shared" si="6"/>
        <v>117.48727189374813</v>
      </c>
      <c r="J226" s="13">
        <f t="shared" si="7"/>
        <v>8.2778871906015447E-2</v>
      </c>
    </row>
    <row r="227" spans="1:10" x14ac:dyDescent="0.35">
      <c r="A227" s="3">
        <v>30569</v>
      </c>
      <c r="B227" s="3">
        <v>232115</v>
      </c>
      <c r="C227" s="18">
        <v>626</v>
      </c>
      <c r="D227" s="18">
        <v>626</v>
      </c>
      <c r="E227" s="19">
        <v>333.73614282577603</v>
      </c>
      <c r="F227" s="19">
        <v>361.79657991549499</v>
      </c>
      <c r="G227" s="12">
        <f>E227/Combined_Summary!$B$23</f>
        <v>1334.9445713031041</v>
      </c>
      <c r="H227" s="12">
        <f>F227/Combined_Summary!$B$23</f>
        <v>1447.18631966198</v>
      </c>
      <c r="I227" s="12">
        <f t="shared" si="6"/>
        <v>112.24174835887584</v>
      </c>
      <c r="J227" s="13">
        <f t="shared" si="7"/>
        <v>8.4079706956904754E-2</v>
      </c>
    </row>
    <row r="228" spans="1:10" x14ac:dyDescent="0.35">
      <c r="A228" s="3">
        <v>30584</v>
      </c>
      <c r="B228" s="3">
        <v>232121</v>
      </c>
      <c r="C228" s="18">
        <v>688</v>
      </c>
      <c r="D228" s="18">
        <v>688</v>
      </c>
      <c r="E228" s="19">
        <v>331.45927685360601</v>
      </c>
      <c r="F228" s="19">
        <v>362.54707685736702</v>
      </c>
      <c r="G228" s="12">
        <f>E228/Combined_Summary!$B$23</f>
        <v>1325.8371074144241</v>
      </c>
      <c r="H228" s="12">
        <f>F228/Combined_Summary!$B$23</f>
        <v>1450.1883074294681</v>
      </c>
      <c r="I228" s="12">
        <f t="shared" si="6"/>
        <v>124.35120001504401</v>
      </c>
      <c r="J228" s="13">
        <f t="shared" si="7"/>
        <v>9.3790707259315598E-2</v>
      </c>
    </row>
    <row r="229" spans="1:10" x14ac:dyDescent="0.35">
      <c r="A229" s="3">
        <v>30585</v>
      </c>
      <c r="B229" s="3">
        <v>232107</v>
      </c>
      <c r="C229" s="18">
        <v>565</v>
      </c>
      <c r="D229" s="18">
        <v>565</v>
      </c>
      <c r="E229" s="19">
        <v>336.85128549896501</v>
      </c>
      <c r="F229" s="19">
        <v>362.83161378033401</v>
      </c>
      <c r="G229" s="12">
        <f>E229/Combined_Summary!$B$23</f>
        <v>1347.40514199586</v>
      </c>
      <c r="H229" s="12">
        <f>F229/Combined_Summary!$B$23</f>
        <v>1451.326455121336</v>
      </c>
      <c r="I229" s="12">
        <f t="shared" si="6"/>
        <v>103.92131312547599</v>
      </c>
      <c r="J229" s="13">
        <f t="shared" si="7"/>
        <v>7.7126997579615358E-2</v>
      </c>
    </row>
    <row r="230" spans="1:10" x14ac:dyDescent="0.35">
      <c r="A230" s="3">
        <v>30592</v>
      </c>
      <c r="B230" s="3">
        <v>232105</v>
      </c>
      <c r="C230" s="18">
        <v>820</v>
      </c>
      <c r="D230" s="18">
        <v>820</v>
      </c>
      <c r="E230" s="19">
        <v>313.781915394853</v>
      </c>
      <c r="F230" s="19">
        <v>340.61679054818501</v>
      </c>
      <c r="G230" s="12">
        <f>E230/Combined_Summary!$B$23</f>
        <v>1255.127661579412</v>
      </c>
      <c r="H230" s="12">
        <f>F230/Combined_Summary!$B$23</f>
        <v>1362.46716219274</v>
      </c>
      <c r="I230" s="12">
        <f t="shared" si="6"/>
        <v>107.33950061332803</v>
      </c>
      <c r="J230" s="13">
        <f t="shared" si="7"/>
        <v>8.5520783183326135E-2</v>
      </c>
    </row>
    <row r="231" spans="1:10" x14ac:dyDescent="0.35">
      <c r="A231" s="3">
        <v>30604</v>
      </c>
      <c r="B231" s="3">
        <v>224105</v>
      </c>
      <c r="C231" s="18">
        <v>1001</v>
      </c>
      <c r="D231" s="18">
        <v>1001</v>
      </c>
      <c r="E231" s="19">
        <v>351.53111576533797</v>
      </c>
      <c r="F231" s="19">
        <v>381.32816524295998</v>
      </c>
      <c r="G231" s="12">
        <f>E231/Combined_Summary!$B$23</f>
        <v>1406.1244630613519</v>
      </c>
      <c r="H231" s="12">
        <f>F231/Combined_Summary!$B$23</f>
        <v>1525.3126609718399</v>
      </c>
      <c r="I231" s="12">
        <f t="shared" si="6"/>
        <v>119.18819791048804</v>
      </c>
      <c r="J231" s="13">
        <f t="shared" si="7"/>
        <v>8.4763618756050069E-2</v>
      </c>
    </row>
    <row r="232" spans="1:10" x14ac:dyDescent="0.35">
      <c r="A232" s="3">
        <v>30605</v>
      </c>
      <c r="B232" s="3">
        <v>224070</v>
      </c>
      <c r="C232" s="18">
        <v>737</v>
      </c>
      <c r="D232" s="18">
        <v>737</v>
      </c>
      <c r="E232" s="19">
        <v>334.69559076586103</v>
      </c>
      <c r="F232" s="19">
        <v>360.683897548971</v>
      </c>
      <c r="G232" s="12">
        <f>E232/Combined_Summary!$B$23</f>
        <v>1338.7823630634441</v>
      </c>
      <c r="H232" s="12">
        <f>F232/Combined_Summary!$B$23</f>
        <v>1442.735590195884</v>
      </c>
      <c r="I232" s="12">
        <f t="shared" si="6"/>
        <v>103.95322713243991</v>
      </c>
      <c r="J232" s="13">
        <f t="shared" si="7"/>
        <v>7.764759232006227E-2</v>
      </c>
    </row>
    <row r="233" spans="1:10" x14ac:dyDescent="0.35">
      <c r="A233" s="3">
        <v>30606</v>
      </c>
      <c r="B233" s="3">
        <v>649946</v>
      </c>
      <c r="C233" s="18">
        <v>16</v>
      </c>
      <c r="D233" s="18">
        <v>16</v>
      </c>
      <c r="E233" s="19">
        <v>351.72098922729498</v>
      </c>
      <c r="F233" s="19">
        <v>379.01207733154303</v>
      </c>
      <c r="G233" s="12">
        <f>E233/Combined_Summary!$B$23</f>
        <v>1406.8839569091799</v>
      </c>
      <c r="H233" s="12">
        <f>F233/Combined_Summary!$B$23</f>
        <v>1516.0483093261721</v>
      </c>
      <c r="I233" s="12">
        <f t="shared" si="6"/>
        <v>109.16435241699219</v>
      </c>
      <c r="J233" s="13">
        <f t="shared" si="7"/>
        <v>7.7593003943849215E-2</v>
      </c>
    </row>
    <row r="234" spans="1:10" x14ac:dyDescent="0.35">
      <c r="A234" s="3">
        <v>30607</v>
      </c>
      <c r="B234" s="3">
        <v>223967</v>
      </c>
      <c r="C234" s="18">
        <v>812</v>
      </c>
      <c r="D234" s="18">
        <v>812</v>
      </c>
      <c r="E234" s="19">
        <v>322.257149217164</v>
      </c>
      <c r="F234" s="19">
        <v>348.83947251230597</v>
      </c>
      <c r="G234" s="12">
        <f>E234/Combined_Summary!$B$23</f>
        <v>1289.028596868656</v>
      </c>
      <c r="H234" s="12">
        <f>F234/Combined_Summary!$B$23</f>
        <v>1395.3578900492239</v>
      </c>
      <c r="I234" s="12">
        <f t="shared" si="6"/>
        <v>106.3292931805679</v>
      </c>
      <c r="J234" s="13">
        <f t="shared" si="7"/>
        <v>8.248792419257879E-2</v>
      </c>
    </row>
    <row r="235" spans="1:10" x14ac:dyDescent="0.35">
      <c r="A235" s="3">
        <v>30608</v>
      </c>
      <c r="B235" s="3">
        <v>223901</v>
      </c>
      <c r="C235" s="18">
        <v>945</v>
      </c>
      <c r="D235" s="18">
        <v>945</v>
      </c>
      <c r="E235" s="19">
        <v>331.81301103218499</v>
      </c>
      <c r="F235" s="19">
        <v>354.794854833209</v>
      </c>
      <c r="G235" s="12">
        <f>E235/Combined_Summary!$B$23</f>
        <v>1327.25204412874</v>
      </c>
      <c r="H235" s="12">
        <f>F235/Combined_Summary!$B$23</f>
        <v>1419.179419332836</v>
      </c>
      <c r="I235" s="12">
        <f t="shared" si="6"/>
        <v>91.927375204096052</v>
      </c>
      <c r="J235" s="13">
        <f t="shared" si="7"/>
        <v>6.9261430495246121E-2</v>
      </c>
    </row>
    <row r="236" spans="1:10" x14ac:dyDescent="0.35">
      <c r="A236" s="3">
        <v>30618</v>
      </c>
      <c r="B236" s="3">
        <v>223981</v>
      </c>
      <c r="C236" s="18">
        <v>1286</v>
      </c>
      <c r="D236" s="18">
        <v>1286</v>
      </c>
      <c r="E236" s="19">
        <v>329.852841666475</v>
      </c>
      <c r="F236" s="19">
        <v>345.59228886416003</v>
      </c>
      <c r="G236" s="12">
        <f>E236/Combined_Summary!$B$23</f>
        <v>1319.4113666659</v>
      </c>
      <c r="H236" s="12">
        <f>F236/Combined_Summary!$B$23</f>
        <v>1382.3691554566401</v>
      </c>
      <c r="I236" s="12">
        <f t="shared" si="6"/>
        <v>62.957788790740096</v>
      </c>
      <c r="J236" s="13">
        <f t="shared" si="7"/>
        <v>4.7716572997117589E-2</v>
      </c>
    </row>
    <row r="237" spans="1:10" x14ac:dyDescent="0.35">
      <c r="A237" s="3">
        <v>30619</v>
      </c>
      <c r="B237" s="3">
        <v>223906</v>
      </c>
      <c r="C237" s="18">
        <v>146</v>
      </c>
      <c r="D237" s="18">
        <v>146</v>
      </c>
      <c r="E237" s="19">
        <v>285.13804751879599</v>
      </c>
      <c r="F237" s="19">
        <v>296.90277784164601</v>
      </c>
      <c r="G237" s="12">
        <f>E237/Combined_Summary!$B$23</f>
        <v>1140.5521900751839</v>
      </c>
      <c r="H237" s="12">
        <f>F237/Combined_Summary!$B$23</f>
        <v>1187.6111113665841</v>
      </c>
      <c r="I237" s="12">
        <f t="shared" si="6"/>
        <v>47.058921291400111</v>
      </c>
      <c r="J237" s="13">
        <f t="shared" si="7"/>
        <v>4.1259770224366533E-2</v>
      </c>
    </row>
    <row r="238" spans="1:10" x14ac:dyDescent="0.35">
      <c r="A238" s="3">
        <v>30631</v>
      </c>
      <c r="B238" s="3">
        <v>232146</v>
      </c>
      <c r="C238" s="18">
        <v>856</v>
      </c>
      <c r="D238" s="18">
        <v>856</v>
      </c>
      <c r="E238" s="19">
        <v>344.58169073479201</v>
      </c>
      <c r="F238" s="19">
        <v>381.27636757075197</v>
      </c>
      <c r="G238" s="12">
        <f>E238/Combined_Summary!$B$23</f>
        <v>1378.326762939168</v>
      </c>
      <c r="H238" s="12">
        <f>F238/Combined_Summary!$B$23</f>
        <v>1525.1054702830079</v>
      </c>
      <c r="I238" s="12">
        <f t="shared" si="6"/>
        <v>146.77870734383987</v>
      </c>
      <c r="J238" s="13">
        <f t="shared" si="7"/>
        <v>0.10649050086704143</v>
      </c>
    </row>
    <row r="239" spans="1:10" x14ac:dyDescent="0.35">
      <c r="A239" s="3">
        <v>30632</v>
      </c>
      <c r="B239" s="3">
        <v>230626</v>
      </c>
      <c r="C239" s="18">
        <v>139</v>
      </c>
      <c r="D239" s="18">
        <v>139</v>
      </c>
      <c r="E239" s="19">
        <v>351.35687343679803</v>
      </c>
      <c r="F239" s="19">
        <v>396.26809604562402</v>
      </c>
      <c r="G239" s="12">
        <f>E239/Combined_Summary!$B$23</f>
        <v>1405.4274937471921</v>
      </c>
      <c r="H239" s="12">
        <f>F239/Combined_Summary!$B$23</f>
        <v>1585.0723841824961</v>
      </c>
      <c r="I239" s="12">
        <f t="shared" si="6"/>
        <v>179.64489043530398</v>
      </c>
      <c r="J239" s="13">
        <f t="shared" si="7"/>
        <v>0.127822240019177</v>
      </c>
    </row>
    <row r="240" spans="1:10" x14ac:dyDescent="0.35">
      <c r="A240" s="3">
        <v>30633</v>
      </c>
      <c r="B240" s="3">
        <v>224254</v>
      </c>
      <c r="C240" s="18">
        <v>614</v>
      </c>
      <c r="D240" s="18">
        <v>614</v>
      </c>
      <c r="E240" s="19">
        <v>315.76484806918199</v>
      </c>
      <c r="F240" s="19">
        <v>363.72179278644001</v>
      </c>
      <c r="G240" s="12">
        <f>E240/Combined_Summary!$B$23</f>
        <v>1263.059392276728</v>
      </c>
      <c r="H240" s="12">
        <f>F240/Combined_Summary!$B$23</f>
        <v>1454.88717114576</v>
      </c>
      <c r="I240" s="12">
        <f t="shared" si="6"/>
        <v>191.82777886903204</v>
      </c>
      <c r="J240" s="13">
        <f t="shared" si="7"/>
        <v>0.15187550169216735</v>
      </c>
    </row>
    <row r="241" spans="1:10" x14ac:dyDescent="0.35">
      <c r="A241" s="3">
        <v>30634</v>
      </c>
      <c r="B241" s="3">
        <v>224038</v>
      </c>
      <c r="C241" s="18">
        <v>748</v>
      </c>
      <c r="D241" s="18">
        <v>748</v>
      </c>
      <c r="E241" s="19">
        <v>341.182493123141</v>
      </c>
      <c r="F241" s="19">
        <v>367.14532550260998</v>
      </c>
      <c r="G241" s="12">
        <f>E241/Combined_Summary!$B$23</f>
        <v>1364.729972492564</v>
      </c>
      <c r="H241" s="12">
        <f>F241/Combined_Summary!$B$23</f>
        <v>1468.5813020104399</v>
      </c>
      <c r="I241" s="12">
        <f t="shared" si="6"/>
        <v>103.85132951787591</v>
      </c>
      <c r="J241" s="13">
        <f t="shared" si="7"/>
        <v>7.609661369728711E-2</v>
      </c>
    </row>
    <row r="242" spans="1:10" x14ac:dyDescent="0.35">
      <c r="A242" s="3">
        <v>30635</v>
      </c>
      <c r="B242" s="3">
        <v>224004</v>
      </c>
      <c r="C242" s="18">
        <v>493</v>
      </c>
      <c r="D242" s="18">
        <v>493</v>
      </c>
      <c r="E242" s="19">
        <v>329.20711965348102</v>
      </c>
      <c r="F242" s="19">
        <v>348.96907157975301</v>
      </c>
      <c r="G242" s="12">
        <f>E242/Combined_Summary!$B$23</f>
        <v>1316.8284786139241</v>
      </c>
      <c r="H242" s="12">
        <f>F242/Combined_Summary!$B$23</f>
        <v>1395.876286319012</v>
      </c>
      <c r="I242" s="12">
        <f t="shared" si="6"/>
        <v>79.047807705087962</v>
      </c>
      <c r="J242" s="13">
        <f t="shared" si="7"/>
        <v>6.0028932384795189E-2</v>
      </c>
    </row>
    <row r="243" spans="1:10" x14ac:dyDescent="0.35">
      <c r="A243" s="3">
        <v>30645</v>
      </c>
      <c r="B243" s="3">
        <v>224295</v>
      </c>
      <c r="C243" s="18">
        <v>1102</v>
      </c>
      <c r="D243" s="18">
        <v>1102</v>
      </c>
      <c r="E243" s="19">
        <v>330.600518439513</v>
      </c>
      <c r="F243" s="19">
        <v>363.01713372315299</v>
      </c>
      <c r="G243" s="12">
        <f>E243/Combined_Summary!$B$23</f>
        <v>1322.402073758052</v>
      </c>
      <c r="H243" s="12">
        <f>F243/Combined_Summary!$B$23</f>
        <v>1452.068534892612</v>
      </c>
      <c r="I243" s="12">
        <f t="shared" si="6"/>
        <v>129.66646113456</v>
      </c>
      <c r="J243" s="13">
        <f t="shared" si="7"/>
        <v>9.8053733964639789E-2</v>
      </c>
    </row>
    <row r="244" spans="1:10" x14ac:dyDescent="0.35">
      <c r="A244" s="3">
        <v>30646</v>
      </c>
      <c r="B244" s="3">
        <v>224084</v>
      </c>
      <c r="C244" s="18">
        <v>693</v>
      </c>
      <c r="D244" s="18">
        <v>693</v>
      </c>
      <c r="E244" s="19">
        <v>332.10048428930401</v>
      </c>
      <c r="F244" s="19">
        <v>367.40587615966803</v>
      </c>
      <c r="G244" s="12">
        <f>E244/Combined_Summary!$B$23</f>
        <v>1328.401937157216</v>
      </c>
      <c r="H244" s="12">
        <f>F244/Combined_Summary!$B$23</f>
        <v>1469.6235046386721</v>
      </c>
      <c r="I244" s="12">
        <f t="shared" si="6"/>
        <v>141.22156748145608</v>
      </c>
      <c r="J244" s="13">
        <f t="shared" si="7"/>
        <v>0.10630936581112689</v>
      </c>
    </row>
    <row r="245" spans="1:10" x14ac:dyDescent="0.35">
      <c r="A245" s="3">
        <v>30657</v>
      </c>
      <c r="B245" s="3">
        <v>224356</v>
      </c>
      <c r="C245" s="18">
        <v>655</v>
      </c>
      <c r="D245" s="18">
        <v>655</v>
      </c>
      <c r="E245" s="19">
        <v>322.881206250373</v>
      </c>
      <c r="F245" s="19">
        <v>348.30724206589599</v>
      </c>
      <c r="G245" s="12">
        <f>E245/Combined_Summary!$B$23</f>
        <v>1291.524825001492</v>
      </c>
      <c r="H245" s="12">
        <f>F245/Combined_Summary!$B$23</f>
        <v>1393.228968263584</v>
      </c>
      <c r="I245" s="12">
        <f t="shared" si="6"/>
        <v>101.70414326209197</v>
      </c>
      <c r="J245" s="13">
        <f t="shared" si="7"/>
        <v>7.8747339031578031E-2</v>
      </c>
    </row>
    <row r="246" spans="1:10" x14ac:dyDescent="0.35">
      <c r="A246" s="3">
        <v>30658</v>
      </c>
      <c r="B246" s="3">
        <v>223973</v>
      </c>
      <c r="C246" s="18">
        <v>595</v>
      </c>
      <c r="D246" s="18">
        <v>595</v>
      </c>
      <c r="E246" s="19">
        <v>303.37940911044598</v>
      </c>
      <c r="F246" s="19">
        <v>334.171686765527</v>
      </c>
      <c r="G246" s="12">
        <f>E246/Combined_Summary!$B$23</f>
        <v>1213.5176364417839</v>
      </c>
      <c r="H246" s="12">
        <f>F246/Combined_Summary!$B$23</f>
        <v>1336.686747062108</v>
      </c>
      <c r="I246" s="12">
        <f t="shared" si="6"/>
        <v>123.16911062032409</v>
      </c>
      <c r="J246" s="13">
        <f t="shared" si="7"/>
        <v>0.10149758596131692</v>
      </c>
    </row>
    <row r="247" spans="1:10" x14ac:dyDescent="0.35">
      <c r="A247" s="3">
        <v>30659</v>
      </c>
      <c r="B247" s="3">
        <v>230606</v>
      </c>
      <c r="C247" s="18">
        <v>235</v>
      </c>
      <c r="D247" s="18">
        <v>235</v>
      </c>
      <c r="E247" s="19">
        <v>304.51279241683602</v>
      </c>
      <c r="F247" s="19">
        <v>336.51491582342902</v>
      </c>
      <c r="G247" s="12">
        <f>E247/Combined_Summary!$B$23</f>
        <v>1218.0511696673441</v>
      </c>
      <c r="H247" s="12">
        <f>F247/Combined_Summary!$B$23</f>
        <v>1346.0596632937161</v>
      </c>
      <c r="I247" s="12">
        <f t="shared" si="6"/>
        <v>128.008493626372</v>
      </c>
      <c r="J247" s="13">
        <f t="shared" si="7"/>
        <v>0.10509287032771519</v>
      </c>
    </row>
    <row r="248" spans="1:10" x14ac:dyDescent="0.35">
      <c r="A248" s="3">
        <v>30666</v>
      </c>
      <c r="B248" s="3">
        <v>230623</v>
      </c>
      <c r="C248" s="18">
        <v>198</v>
      </c>
      <c r="D248" s="18">
        <v>198</v>
      </c>
      <c r="E248" s="19">
        <v>299.37095295299201</v>
      </c>
      <c r="F248" s="19">
        <v>337.84561188052402</v>
      </c>
      <c r="G248" s="12">
        <f>E248/Combined_Summary!$B$23</f>
        <v>1197.4838118119681</v>
      </c>
      <c r="H248" s="12">
        <f>F248/Combined_Summary!$B$23</f>
        <v>1351.3824475220961</v>
      </c>
      <c r="I248" s="12">
        <f t="shared" si="6"/>
        <v>153.89863571012802</v>
      </c>
      <c r="J248" s="13">
        <f t="shared" si="7"/>
        <v>0.12851834337305729</v>
      </c>
    </row>
    <row r="249" spans="1:10" x14ac:dyDescent="0.35">
      <c r="A249" s="3">
        <v>30677</v>
      </c>
      <c r="B249" s="3">
        <v>224281</v>
      </c>
      <c r="C249" s="18">
        <v>423</v>
      </c>
      <c r="D249" s="18">
        <v>423</v>
      </c>
      <c r="E249" s="19">
        <v>305.24739117092599</v>
      </c>
      <c r="F249" s="19">
        <v>324.151305106233</v>
      </c>
      <c r="G249" s="12">
        <f>E249/Combined_Summary!$B$23</f>
        <v>1220.989564683704</v>
      </c>
      <c r="H249" s="12">
        <f>F249/Combined_Summary!$B$23</f>
        <v>1296.605220424932</v>
      </c>
      <c r="I249" s="12">
        <f t="shared" si="6"/>
        <v>75.615655741228011</v>
      </c>
      <c r="J249" s="13">
        <f t="shared" si="7"/>
        <v>6.1929813266517281E-2</v>
      </c>
    </row>
    <row r="250" spans="1:10" x14ac:dyDescent="0.35">
      <c r="A250" s="3">
        <v>30682</v>
      </c>
      <c r="B250" s="3">
        <v>224321</v>
      </c>
      <c r="C250" s="18">
        <v>880</v>
      </c>
      <c r="D250" s="18">
        <v>880</v>
      </c>
      <c r="E250" s="19">
        <v>335.641380830245</v>
      </c>
      <c r="F250" s="19">
        <v>369.99130446694102</v>
      </c>
      <c r="G250" s="12">
        <f>E250/Combined_Summary!$B$23</f>
        <v>1342.56552332098</v>
      </c>
      <c r="H250" s="12">
        <f>F250/Combined_Summary!$B$23</f>
        <v>1479.9652178677641</v>
      </c>
      <c r="I250" s="12">
        <f t="shared" si="6"/>
        <v>137.39969454678408</v>
      </c>
      <c r="J250" s="13">
        <f t="shared" si="7"/>
        <v>0.10234114623092003</v>
      </c>
    </row>
    <row r="251" spans="1:10" x14ac:dyDescent="0.35">
      <c r="A251" s="3">
        <v>30700</v>
      </c>
      <c r="B251" s="3">
        <v>806210</v>
      </c>
      <c r="C251" s="18">
        <v>929</v>
      </c>
      <c r="D251" s="18">
        <v>929</v>
      </c>
      <c r="E251" s="19">
        <v>326.38971073737798</v>
      </c>
      <c r="F251" s="19">
        <v>358.26411846148602</v>
      </c>
      <c r="G251" s="12">
        <f>E251/Combined_Summary!$B$23</f>
        <v>1305.5588429495119</v>
      </c>
      <c r="H251" s="12">
        <f>F251/Combined_Summary!$B$23</f>
        <v>1433.0564738459441</v>
      </c>
      <c r="I251" s="12">
        <f t="shared" si="6"/>
        <v>127.49763089643216</v>
      </c>
      <c r="J251" s="13">
        <f t="shared" si="7"/>
        <v>9.765751393356592E-2</v>
      </c>
    </row>
    <row r="252" spans="1:10" x14ac:dyDescent="0.35">
      <c r="A252" s="3">
        <v>35200</v>
      </c>
      <c r="B252" s="3">
        <v>649550</v>
      </c>
      <c r="C252" s="18">
        <v>16</v>
      </c>
      <c r="D252" s="18">
        <v>16</v>
      </c>
      <c r="E252" s="19">
        <v>332.76571846008301</v>
      </c>
      <c r="F252" s="19">
        <v>388.96278667450002</v>
      </c>
      <c r="G252" s="12">
        <f>E252/Combined_Summary!$B$23</f>
        <v>1331.062873840332</v>
      </c>
      <c r="H252" s="12">
        <f>F252/Combined_Summary!$B$23</f>
        <v>1555.8511466980001</v>
      </c>
      <c r="I252" s="12">
        <f t="shared" si="6"/>
        <v>224.78827285766806</v>
      </c>
      <c r="J252" s="13">
        <f t="shared" si="7"/>
        <v>0.16887877896339898</v>
      </c>
    </row>
    <row r="253" spans="1:10" x14ac:dyDescent="0.35">
      <c r="A253" s="3">
        <v>35201</v>
      </c>
      <c r="B253" s="3">
        <v>232113</v>
      </c>
      <c r="C253" s="18">
        <v>655</v>
      </c>
      <c r="D253" s="18">
        <v>655</v>
      </c>
      <c r="E253" s="19">
        <v>303.05761468901898</v>
      </c>
      <c r="F253" s="19">
        <v>336.87732004646102</v>
      </c>
      <c r="G253" s="12">
        <f>E253/Combined_Summary!$B$23</f>
        <v>1212.2304587560759</v>
      </c>
      <c r="H253" s="12">
        <f>F253/Combined_Summary!$B$23</f>
        <v>1347.5092801858441</v>
      </c>
      <c r="I253" s="12">
        <f t="shared" si="6"/>
        <v>135.27882142976819</v>
      </c>
      <c r="J253" s="13">
        <f t="shared" si="7"/>
        <v>0.11159496979525152</v>
      </c>
    </row>
    <row r="254" spans="1:10" x14ac:dyDescent="0.35">
      <c r="A254" s="3">
        <v>35208</v>
      </c>
      <c r="B254" s="3">
        <v>224095</v>
      </c>
      <c r="C254" s="18">
        <v>733</v>
      </c>
      <c r="D254" s="18">
        <v>733</v>
      </c>
      <c r="E254" s="19">
        <v>332.41807188213602</v>
      </c>
      <c r="F254" s="19">
        <v>356.89591432496002</v>
      </c>
      <c r="G254" s="12">
        <f>E254/Combined_Summary!$B$23</f>
        <v>1329.6722875285441</v>
      </c>
      <c r="H254" s="12">
        <f>F254/Combined_Summary!$B$23</f>
        <v>1427.5836572998401</v>
      </c>
      <c r="I254" s="12">
        <f t="shared" si="6"/>
        <v>97.911369771295995</v>
      </c>
      <c r="J254" s="13">
        <f t="shared" si="7"/>
        <v>7.3635715122922066E-2</v>
      </c>
    </row>
    <row r="255" spans="1:10" x14ac:dyDescent="0.35">
      <c r="A255" s="3">
        <v>35209</v>
      </c>
      <c r="B255" s="3">
        <v>649553</v>
      </c>
      <c r="C255" s="18">
        <v>16</v>
      </c>
      <c r="D255" s="18">
        <v>16</v>
      </c>
      <c r="E255" s="19">
        <v>348.20325469970697</v>
      </c>
      <c r="F255" s="19">
        <v>370.70259284973099</v>
      </c>
      <c r="G255" s="12">
        <f>E255/Combined_Summary!$B$23</f>
        <v>1392.8130187988279</v>
      </c>
      <c r="H255" s="12">
        <f>F255/Combined_Summary!$B$23</f>
        <v>1482.810371398924</v>
      </c>
      <c r="I255" s="12">
        <f t="shared" si="6"/>
        <v>89.997352600096065</v>
      </c>
      <c r="J255" s="13">
        <f t="shared" si="7"/>
        <v>6.4615530861213827E-2</v>
      </c>
    </row>
    <row r="256" spans="1:10" x14ac:dyDescent="0.35">
      <c r="A256" s="3">
        <v>35210</v>
      </c>
      <c r="B256" s="3">
        <v>232114</v>
      </c>
      <c r="C256" s="18">
        <v>525</v>
      </c>
      <c r="D256" s="18">
        <v>525</v>
      </c>
      <c r="E256" s="19">
        <v>334.76877253941097</v>
      </c>
      <c r="F256" s="19">
        <v>353.26097470238102</v>
      </c>
      <c r="G256" s="12">
        <f>E256/Combined_Summary!$B$23</f>
        <v>1339.0750901576439</v>
      </c>
      <c r="H256" s="12">
        <f>F256/Combined_Summary!$B$23</f>
        <v>1413.0438988095241</v>
      </c>
      <c r="I256" s="12">
        <f t="shared" si="6"/>
        <v>73.968808651880181</v>
      </c>
      <c r="J256" s="13">
        <f t="shared" si="7"/>
        <v>5.5238730968531519E-2</v>
      </c>
    </row>
    <row r="257" spans="1:10" x14ac:dyDescent="0.35">
      <c r="A257" s="3">
        <v>35222</v>
      </c>
      <c r="B257" s="3">
        <v>224090</v>
      </c>
      <c r="C257" s="18">
        <v>650</v>
      </c>
      <c r="D257" s="18">
        <v>650</v>
      </c>
      <c r="E257" s="19">
        <v>338.15485027606701</v>
      </c>
      <c r="F257" s="19">
        <v>358.24124417818501</v>
      </c>
      <c r="G257" s="12">
        <f>E257/Combined_Summary!$B$23</f>
        <v>1352.619401104268</v>
      </c>
      <c r="H257" s="12">
        <f>F257/Combined_Summary!$B$23</f>
        <v>1432.9649767127401</v>
      </c>
      <c r="I257" s="12">
        <f t="shared" si="6"/>
        <v>80.345575608472018</v>
      </c>
      <c r="J257" s="13">
        <f t="shared" si="7"/>
        <v>5.939998756699668E-2</v>
      </c>
    </row>
    <row r="258" spans="1:10" x14ac:dyDescent="0.35">
      <c r="A258" s="3">
        <v>35235</v>
      </c>
      <c r="B258" s="3">
        <v>806221</v>
      </c>
      <c r="C258" s="18">
        <v>1084</v>
      </c>
      <c r="D258" s="18">
        <v>1084</v>
      </c>
      <c r="E258" s="19">
        <v>290.26472165927697</v>
      </c>
      <c r="F258" s="19">
        <v>323.80880788683498</v>
      </c>
      <c r="G258" s="12">
        <f>E258/Combined_Summary!$B$23</f>
        <v>1161.0588866371079</v>
      </c>
      <c r="H258" s="12">
        <f>F258/Combined_Summary!$B$23</f>
        <v>1295.2352315473399</v>
      </c>
      <c r="I258" s="12">
        <f t="shared" ref="I258:I321" si="8">H258-G258</f>
        <v>134.17634491023205</v>
      </c>
      <c r="J258" s="13">
        <f t="shared" ref="J258:J321" si="9">IF(G258=0,"",I258/G258)</f>
        <v>0.11556377239302698</v>
      </c>
    </row>
    <row r="259" spans="1:10" x14ac:dyDescent="0.35">
      <c r="A259" s="3">
        <v>35236</v>
      </c>
      <c r="B259" s="3">
        <v>224049</v>
      </c>
      <c r="C259" s="18">
        <v>782</v>
      </c>
      <c r="D259" s="18">
        <v>782</v>
      </c>
      <c r="E259" s="19">
        <v>335.905525475817</v>
      </c>
      <c r="F259" s="19">
        <v>361.28247769836298</v>
      </c>
      <c r="G259" s="12">
        <f>E259/Combined_Summary!$B$23</f>
        <v>1343.622101903268</v>
      </c>
      <c r="H259" s="12">
        <f>F259/Combined_Summary!$B$23</f>
        <v>1445.1299107934519</v>
      </c>
      <c r="I259" s="12">
        <f t="shared" si="8"/>
        <v>101.50780889018392</v>
      </c>
      <c r="J259" s="13">
        <f t="shared" si="9"/>
        <v>7.5547885634209236E-2</v>
      </c>
    </row>
    <row r="260" spans="1:10" x14ac:dyDescent="0.35">
      <c r="A260" s="3">
        <v>35237</v>
      </c>
      <c r="B260" s="3">
        <v>224039</v>
      </c>
      <c r="C260" s="18">
        <v>704</v>
      </c>
      <c r="D260" s="18">
        <v>704</v>
      </c>
      <c r="E260" s="19">
        <v>337.0695505955</v>
      </c>
      <c r="F260" s="19">
        <v>365.28425634990998</v>
      </c>
      <c r="G260" s="12">
        <f>E260/Combined_Summary!$B$23</f>
        <v>1348.278202382</v>
      </c>
      <c r="H260" s="12">
        <f>F260/Combined_Summary!$B$23</f>
        <v>1461.1370253996399</v>
      </c>
      <c r="I260" s="12">
        <f t="shared" si="8"/>
        <v>112.85882301763991</v>
      </c>
      <c r="J260" s="13">
        <f t="shared" si="9"/>
        <v>8.3705887121999362E-2</v>
      </c>
    </row>
    <row r="261" spans="1:10" x14ac:dyDescent="0.35">
      <c r="A261" s="3">
        <v>35247</v>
      </c>
      <c r="B261" s="3">
        <v>224086</v>
      </c>
      <c r="C261" s="18">
        <v>574</v>
      </c>
      <c r="D261" s="18">
        <v>574</v>
      </c>
      <c r="E261" s="19">
        <v>311.68884204239799</v>
      </c>
      <c r="F261" s="19">
        <v>340.67442986358799</v>
      </c>
      <c r="G261" s="12">
        <f>E261/Combined_Summary!$B$23</f>
        <v>1246.755368169592</v>
      </c>
      <c r="H261" s="12">
        <f>F261/Combined_Summary!$B$23</f>
        <v>1362.697719454352</v>
      </c>
      <c r="I261" s="12">
        <f t="shared" si="8"/>
        <v>115.94235128475998</v>
      </c>
      <c r="J261" s="13">
        <f t="shared" si="9"/>
        <v>9.2995269356633506E-2</v>
      </c>
    </row>
    <row r="262" spans="1:10" x14ac:dyDescent="0.35">
      <c r="A262" s="3">
        <v>35259</v>
      </c>
      <c r="B262" s="3">
        <v>224078</v>
      </c>
      <c r="C262" s="18">
        <v>1023</v>
      </c>
      <c r="D262" s="18">
        <v>1023</v>
      </c>
      <c r="E262" s="19">
        <v>327.331863593496</v>
      </c>
      <c r="F262" s="19">
        <v>349.00397308737399</v>
      </c>
      <c r="G262" s="12">
        <f>E262/Combined_Summary!$B$23</f>
        <v>1309.327454373984</v>
      </c>
      <c r="H262" s="12">
        <f>F262/Combined_Summary!$B$23</f>
        <v>1396.015892349496</v>
      </c>
      <c r="I262" s="12">
        <f t="shared" si="8"/>
        <v>86.688437975511988</v>
      </c>
      <c r="J262" s="13">
        <f t="shared" si="9"/>
        <v>6.6208371088468082E-2</v>
      </c>
    </row>
    <row r="263" spans="1:10" x14ac:dyDescent="0.35">
      <c r="A263" s="3">
        <v>35275</v>
      </c>
      <c r="B263" s="3">
        <v>224050</v>
      </c>
      <c r="C263" s="18">
        <v>672</v>
      </c>
      <c r="D263" s="18">
        <v>672</v>
      </c>
      <c r="E263" s="19">
        <v>324.74438688300899</v>
      </c>
      <c r="F263" s="19">
        <v>353.13336634635903</v>
      </c>
      <c r="G263" s="12">
        <f>E263/Combined_Summary!$B$23</f>
        <v>1298.9775475320359</v>
      </c>
      <c r="H263" s="12">
        <f>F263/Combined_Summary!$B$23</f>
        <v>1412.5334653854361</v>
      </c>
      <c r="I263" s="12">
        <f t="shared" si="8"/>
        <v>113.55591785340016</v>
      </c>
      <c r="J263" s="13">
        <f t="shared" si="9"/>
        <v>8.7419461613596205E-2</v>
      </c>
    </row>
    <row r="264" spans="1:10" x14ac:dyDescent="0.35">
      <c r="A264" s="3">
        <v>35276</v>
      </c>
      <c r="B264" s="3">
        <v>224009</v>
      </c>
      <c r="C264" s="18">
        <v>1254</v>
      </c>
      <c r="D264" s="18">
        <v>1254</v>
      </c>
      <c r="E264" s="19">
        <v>333.57264611519503</v>
      </c>
      <c r="F264" s="19">
        <v>360.70598031002902</v>
      </c>
      <c r="G264" s="12">
        <f>E264/Combined_Summary!$B$23</f>
        <v>1334.2905844607801</v>
      </c>
      <c r="H264" s="12">
        <f>F264/Combined_Summary!$B$23</f>
        <v>1442.8239212401161</v>
      </c>
      <c r="I264" s="12">
        <f t="shared" si="8"/>
        <v>108.53333677933597</v>
      </c>
      <c r="J264" s="13">
        <f t="shared" si="9"/>
        <v>8.1341604327663741E-2</v>
      </c>
    </row>
    <row r="265" spans="1:10" x14ac:dyDescent="0.35">
      <c r="A265" s="3">
        <v>35285</v>
      </c>
      <c r="B265" s="3">
        <v>806222</v>
      </c>
      <c r="C265" s="18">
        <v>946</v>
      </c>
      <c r="D265" s="18">
        <v>946</v>
      </c>
      <c r="E265" s="19">
        <v>345.56750940318801</v>
      </c>
      <c r="F265" s="19">
        <v>374.39567848189398</v>
      </c>
      <c r="G265" s="12">
        <f>E265/Combined_Summary!$B$23</f>
        <v>1382.270037612752</v>
      </c>
      <c r="H265" s="12">
        <f>F265/Combined_Summary!$B$23</f>
        <v>1497.5827139275759</v>
      </c>
      <c r="I265" s="12">
        <f t="shared" si="8"/>
        <v>115.31267631482388</v>
      </c>
      <c r="J265" s="13">
        <f t="shared" si="9"/>
        <v>8.3422683829546443E-2</v>
      </c>
    </row>
    <row r="266" spans="1:10" x14ac:dyDescent="0.35">
      <c r="A266" s="3">
        <v>35286</v>
      </c>
      <c r="B266" s="3">
        <v>224102</v>
      </c>
      <c r="C266" s="18">
        <v>775</v>
      </c>
      <c r="D266" s="18">
        <v>775</v>
      </c>
      <c r="E266" s="19">
        <v>309.88877538373401</v>
      </c>
      <c r="F266" s="19">
        <v>341.16951745802402</v>
      </c>
      <c r="G266" s="12">
        <f>E266/Combined_Summary!$B$23</f>
        <v>1239.5551015349361</v>
      </c>
      <c r="H266" s="12">
        <f>F266/Combined_Summary!$B$23</f>
        <v>1364.6780698320961</v>
      </c>
      <c r="I266" s="12">
        <f t="shared" si="8"/>
        <v>125.12296829716001</v>
      </c>
      <c r="J266" s="13">
        <f t="shared" si="9"/>
        <v>0.10094183642358516</v>
      </c>
    </row>
    <row r="267" spans="1:10" x14ac:dyDescent="0.35">
      <c r="A267" s="3">
        <v>35287</v>
      </c>
      <c r="B267" s="3">
        <v>232141</v>
      </c>
      <c r="C267" s="18">
        <v>484</v>
      </c>
      <c r="D267" s="18">
        <v>484</v>
      </c>
      <c r="E267" s="19">
        <v>301.83127054104102</v>
      </c>
      <c r="F267" s="19">
        <v>337.16682802941199</v>
      </c>
      <c r="G267" s="12">
        <f>E267/Combined_Summary!$B$23</f>
        <v>1207.3250821641641</v>
      </c>
      <c r="H267" s="12">
        <f>F267/Combined_Summary!$B$23</f>
        <v>1348.667312117648</v>
      </c>
      <c r="I267" s="12">
        <f t="shared" si="8"/>
        <v>141.34222995348387</v>
      </c>
      <c r="J267" s="13">
        <f t="shared" si="9"/>
        <v>0.11707056536929056</v>
      </c>
    </row>
    <row r="268" spans="1:10" x14ac:dyDescent="0.35">
      <c r="A268" s="3">
        <v>35288</v>
      </c>
      <c r="B268" s="3">
        <v>223902</v>
      </c>
      <c r="C268" s="18">
        <v>940</v>
      </c>
      <c r="D268" s="18">
        <v>940</v>
      </c>
      <c r="E268" s="19">
        <v>145.00166172676899</v>
      </c>
      <c r="F268" s="19">
        <v>193.32273490581099</v>
      </c>
      <c r="G268" s="12">
        <f>E268/Combined_Summary!$B$23</f>
        <v>580.00664690707595</v>
      </c>
      <c r="H268" s="12">
        <f>F268/Combined_Summary!$B$23</f>
        <v>773.29093962324396</v>
      </c>
      <c r="I268" s="12">
        <f t="shared" si="8"/>
        <v>193.28429271616801</v>
      </c>
      <c r="J268" s="13">
        <f t="shared" si="9"/>
        <v>0.33324496149633692</v>
      </c>
    </row>
    <row r="269" spans="1:10" x14ac:dyDescent="0.35">
      <c r="A269" s="3">
        <v>35297</v>
      </c>
      <c r="B269" s="3">
        <v>224355</v>
      </c>
      <c r="C269" s="18">
        <v>634</v>
      </c>
      <c r="D269" s="18">
        <v>634</v>
      </c>
      <c r="E269" s="19">
        <v>291.080219040158</v>
      </c>
      <c r="F269" s="19">
        <v>325.90329886836599</v>
      </c>
      <c r="G269" s="12">
        <f>E269/Combined_Summary!$B$23</f>
        <v>1164.320876160632</v>
      </c>
      <c r="H269" s="12">
        <f>F269/Combined_Summary!$B$23</f>
        <v>1303.613195473464</v>
      </c>
      <c r="I269" s="12">
        <f t="shared" si="8"/>
        <v>139.29231931283198</v>
      </c>
      <c r="J269" s="13">
        <f t="shared" si="9"/>
        <v>0.11963396187840485</v>
      </c>
    </row>
    <row r="270" spans="1:10" x14ac:dyDescent="0.35">
      <c r="A270" s="3">
        <v>35298</v>
      </c>
      <c r="B270" s="3">
        <v>224192</v>
      </c>
      <c r="C270" s="18">
        <v>1077</v>
      </c>
      <c r="D270" s="18">
        <v>1077</v>
      </c>
      <c r="E270" s="19">
        <v>324.91487781450297</v>
      </c>
      <c r="F270" s="19">
        <v>353.59895408297399</v>
      </c>
      <c r="G270" s="12">
        <f>E270/Combined_Summary!$B$23</f>
        <v>1299.6595112580119</v>
      </c>
      <c r="H270" s="12">
        <f>F270/Combined_Summary!$B$23</f>
        <v>1414.395816331896</v>
      </c>
      <c r="I270" s="12">
        <f t="shared" si="8"/>
        <v>114.73630507388407</v>
      </c>
      <c r="J270" s="13">
        <f t="shared" si="9"/>
        <v>8.8281818491694405E-2</v>
      </c>
    </row>
    <row r="271" spans="1:10" x14ac:dyDescent="0.35">
      <c r="A271" s="3">
        <v>35308</v>
      </c>
      <c r="B271" s="3">
        <v>224262</v>
      </c>
      <c r="C271" s="18">
        <v>354</v>
      </c>
      <c r="D271" s="18">
        <v>354</v>
      </c>
      <c r="E271" s="19">
        <v>349.56800151544797</v>
      </c>
      <c r="F271" s="19">
        <v>386.344448887022</v>
      </c>
      <c r="G271" s="12">
        <f>E271/Combined_Summary!$B$23</f>
        <v>1398.2720060617919</v>
      </c>
      <c r="H271" s="12">
        <f>F271/Combined_Summary!$B$23</f>
        <v>1545.377795548088</v>
      </c>
      <c r="I271" s="12">
        <f t="shared" si="8"/>
        <v>147.10578948629609</v>
      </c>
      <c r="J271" s="13">
        <f t="shared" si="9"/>
        <v>0.10520541700653574</v>
      </c>
    </row>
    <row r="272" spans="1:10" x14ac:dyDescent="0.35">
      <c r="A272" s="3">
        <v>35309</v>
      </c>
      <c r="B272" s="3">
        <v>223975</v>
      </c>
      <c r="C272" s="18">
        <v>516</v>
      </c>
      <c r="D272" s="18">
        <v>516</v>
      </c>
      <c r="E272" s="19">
        <v>328.245164072791</v>
      </c>
      <c r="F272" s="19">
        <v>348.25257835092498</v>
      </c>
      <c r="G272" s="12">
        <f>E272/Combined_Summary!$B$23</f>
        <v>1312.980656291164</v>
      </c>
      <c r="H272" s="12">
        <f>F272/Combined_Summary!$B$23</f>
        <v>1393.0103134036999</v>
      </c>
      <c r="I272" s="12">
        <f t="shared" si="8"/>
        <v>80.029657112535915</v>
      </c>
      <c r="J272" s="13">
        <f t="shared" si="9"/>
        <v>6.0952655112680269E-2</v>
      </c>
    </row>
    <row r="273" spans="1:10" x14ac:dyDescent="0.35">
      <c r="A273" s="3">
        <v>35319</v>
      </c>
      <c r="B273" s="3">
        <v>224145</v>
      </c>
      <c r="C273" s="18">
        <v>876</v>
      </c>
      <c r="D273" s="18">
        <v>876</v>
      </c>
      <c r="E273" s="19">
        <v>332.63482708255998</v>
      </c>
      <c r="F273" s="19">
        <v>356.28640513659599</v>
      </c>
      <c r="G273" s="12">
        <f>E273/Combined_Summary!$B$23</f>
        <v>1330.5393083302399</v>
      </c>
      <c r="H273" s="12">
        <f>F273/Combined_Summary!$B$23</f>
        <v>1425.145620546384</v>
      </c>
      <c r="I273" s="12">
        <f t="shared" si="8"/>
        <v>94.606312216144033</v>
      </c>
      <c r="J273" s="13">
        <f t="shared" si="9"/>
        <v>7.1103733368742192E-2</v>
      </c>
    </row>
    <row r="274" spans="1:10" x14ac:dyDescent="0.35">
      <c r="A274" s="3">
        <v>35320</v>
      </c>
      <c r="B274" s="3">
        <v>795553</v>
      </c>
      <c r="C274" s="18">
        <v>1136</v>
      </c>
      <c r="D274" s="18">
        <v>1136</v>
      </c>
      <c r="E274" s="19">
        <v>180.66101112499999</v>
      </c>
      <c r="F274" s="19">
        <v>235.54166335119299</v>
      </c>
      <c r="G274" s="12">
        <f>E274/Combined_Summary!$B$23</f>
        <v>722.64404449999995</v>
      </c>
      <c r="H274" s="12">
        <f>F274/Combined_Summary!$B$23</f>
        <v>942.16665340477198</v>
      </c>
      <c r="I274" s="12">
        <f t="shared" si="8"/>
        <v>219.52260890477203</v>
      </c>
      <c r="J274" s="13">
        <f t="shared" si="9"/>
        <v>0.30377695710017305</v>
      </c>
    </row>
    <row r="275" spans="1:10" x14ac:dyDescent="0.35">
      <c r="A275" s="3">
        <v>35326</v>
      </c>
      <c r="B275" s="3">
        <v>224365</v>
      </c>
      <c r="C275" s="18">
        <v>598</v>
      </c>
      <c r="D275" s="18">
        <v>598</v>
      </c>
      <c r="E275" s="19">
        <v>295.03094132847599</v>
      </c>
      <c r="F275" s="19">
        <v>325.349307694961</v>
      </c>
      <c r="G275" s="12">
        <f>E275/Combined_Summary!$B$23</f>
        <v>1180.123765313904</v>
      </c>
      <c r="H275" s="12">
        <f>F275/Combined_Summary!$B$23</f>
        <v>1301.397230779844</v>
      </c>
      <c r="I275" s="12">
        <f t="shared" si="8"/>
        <v>121.27346546594003</v>
      </c>
      <c r="J275" s="13">
        <f t="shared" si="9"/>
        <v>0.10276334485449687</v>
      </c>
    </row>
    <row r="276" spans="1:10" x14ac:dyDescent="0.35">
      <c r="A276" s="3">
        <v>35336</v>
      </c>
      <c r="B276" s="3">
        <v>224288</v>
      </c>
      <c r="C276" s="18">
        <v>503</v>
      </c>
      <c r="D276" s="18">
        <v>503</v>
      </c>
      <c r="E276" s="19">
        <v>323.97191257363102</v>
      </c>
      <c r="F276" s="19">
        <v>351.04461575881601</v>
      </c>
      <c r="G276" s="12">
        <f>E276/Combined_Summary!$B$23</f>
        <v>1295.8876502945241</v>
      </c>
      <c r="H276" s="12">
        <f>F276/Combined_Summary!$B$23</f>
        <v>1404.178463035264</v>
      </c>
      <c r="I276" s="12">
        <f t="shared" si="8"/>
        <v>108.29081274073997</v>
      </c>
      <c r="J276" s="13">
        <f t="shared" si="9"/>
        <v>8.3564970092992297E-2</v>
      </c>
    </row>
    <row r="277" spans="1:10" x14ac:dyDescent="0.35">
      <c r="A277" s="3">
        <v>35337</v>
      </c>
      <c r="B277" s="3">
        <v>224187</v>
      </c>
      <c r="C277" s="18">
        <v>872</v>
      </c>
      <c r="D277" s="18">
        <v>872</v>
      </c>
      <c r="E277" s="19">
        <v>307.80363558848001</v>
      </c>
      <c r="F277" s="19">
        <v>329.28991920576198</v>
      </c>
      <c r="G277" s="12">
        <f>E277/Combined_Summary!$B$23</f>
        <v>1231.21454235392</v>
      </c>
      <c r="H277" s="12">
        <f>F277/Combined_Summary!$B$23</f>
        <v>1317.1596768230479</v>
      </c>
      <c r="I277" s="12">
        <f t="shared" si="8"/>
        <v>85.945134469127879</v>
      </c>
      <c r="J277" s="13">
        <f t="shared" si="9"/>
        <v>6.9805165154086066E-2</v>
      </c>
    </row>
    <row r="278" spans="1:10" x14ac:dyDescent="0.35">
      <c r="A278" s="3">
        <v>35345</v>
      </c>
      <c r="B278" s="3">
        <v>224284</v>
      </c>
      <c r="C278" s="18">
        <v>897</v>
      </c>
      <c r="D278" s="18">
        <v>897</v>
      </c>
      <c r="E278" s="19">
        <v>332.291816724184</v>
      </c>
      <c r="F278" s="19">
        <v>359.16327869666202</v>
      </c>
      <c r="G278" s="12">
        <f>E278/Combined_Summary!$B$23</f>
        <v>1329.167266896736</v>
      </c>
      <c r="H278" s="12">
        <f>F278/Combined_Summary!$B$23</f>
        <v>1436.6531147866481</v>
      </c>
      <c r="I278" s="12">
        <f t="shared" si="8"/>
        <v>107.48584788991207</v>
      </c>
      <c r="J278" s="13">
        <f t="shared" si="9"/>
        <v>8.0867059072906519E-2</v>
      </c>
    </row>
    <row r="279" spans="1:10" x14ac:dyDescent="0.35">
      <c r="A279" s="3">
        <v>35346</v>
      </c>
      <c r="B279" s="3">
        <v>224177</v>
      </c>
      <c r="C279" s="18">
        <v>773</v>
      </c>
      <c r="D279" s="18">
        <v>773</v>
      </c>
      <c r="E279" s="19">
        <v>255.95847684754099</v>
      </c>
      <c r="F279" s="19">
        <v>299.47132456040498</v>
      </c>
      <c r="G279" s="12">
        <f>E279/Combined_Summary!$B$23</f>
        <v>1023.833907390164</v>
      </c>
      <c r="H279" s="12">
        <f>F279/Combined_Summary!$B$23</f>
        <v>1197.8852982416199</v>
      </c>
      <c r="I279" s="12">
        <f t="shared" si="8"/>
        <v>174.05139085145595</v>
      </c>
      <c r="J279" s="13">
        <f t="shared" si="9"/>
        <v>0.16999963528764847</v>
      </c>
    </row>
    <row r="280" spans="1:10" x14ac:dyDescent="0.35">
      <c r="A280" s="3">
        <v>35366</v>
      </c>
      <c r="B280" s="3">
        <v>232142</v>
      </c>
      <c r="C280" s="18">
        <v>546</v>
      </c>
      <c r="D280" s="18">
        <v>546</v>
      </c>
      <c r="E280" s="19">
        <v>318.18996917109803</v>
      </c>
      <c r="F280" s="19">
        <v>352.07410266023902</v>
      </c>
      <c r="G280" s="12">
        <f>E280/Combined_Summary!$B$23</f>
        <v>1272.7598766843921</v>
      </c>
      <c r="H280" s="12">
        <f>F280/Combined_Summary!$B$23</f>
        <v>1408.2964106409561</v>
      </c>
      <c r="I280" s="12">
        <f t="shared" si="8"/>
        <v>135.53653395656397</v>
      </c>
      <c r="J280" s="13">
        <f t="shared" si="9"/>
        <v>0.10649026296275454</v>
      </c>
    </row>
  </sheetData>
  <autoFilter ref="A1:J28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Combined_Summary</vt:lpstr>
      <vt:lpstr>West_Summary</vt:lpstr>
      <vt:lpstr>West_Roofs</vt:lpstr>
      <vt:lpstr>East_Summary</vt:lpstr>
      <vt:lpstr>East_Roofs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Jane Stanton</cp:lastModifiedBy>
  <cp:revision>0</cp:revision>
  <dcterms:created xsi:type="dcterms:W3CDTF">2026-10-11T20:57:04Z</dcterms:created>
  <dcterms:modified xsi:type="dcterms:W3CDTF">2026-10-11T21:10:23Z</dcterms:modified>
  <dc:language>en-US</dc:language>
</cp:coreProperties>
</file>