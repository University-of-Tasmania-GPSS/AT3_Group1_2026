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bined_Summary" sheetId="1" state="visible" r:id="rId3"/>
    <sheet name="West_Summary" sheetId="2" state="visible" r:id="rId4"/>
    <sheet name="West_Roofs" sheetId="3" state="visible" r:id="rId5"/>
    <sheet name="East_Summary" sheetId="4" state="visible" r:id="rId6"/>
    <sheet name="East_Roofs" sheetId="5" state="visible" r:id="rId7"/>
  </sheets>
  <definedNames>
    <definedName function="false" hidden="true" localSheetId="4" name="_xlnm._FilterDatabase" vbProcedure="false">East_Roofs!$A$1:$J$280</definedName>
    <definedName function="false" hidden="true" localSheetId="2" name="_xlnm._FilterDatabase" vbProcedure="false">West_Roofs!$A$1:$J$582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<sst xmlns="http://schemas.openxmlformats.org/spreadsheetml/2006/main" count="103" uniqueCount="49">
  <si>
    <t xml:space="preserve">SEBE vs Python model: West and East compared (kWh/m²/year)</t>
  </si>
  <si>
    <t xml:space="preserve">Metric</t>
  </si>
  <si>
    <t xml:space="preserve">West</t>
  </si>
  <si>
    <t xml:space="preserve">East</t>
  </si>
  <si>
    <t xml:space="preserve">Number of roofs</t>
  </si>
  <si>
    <t xml:space="preserve">SEBE mean of roof means (kWh/m²/yr)</t>
  </si>
  <si>
    <t xml:space="preserve">Python mean of roof means (kWh/m²/yr)</t>
  </si>
  <si>
    <t xml:space="preserve">Bias (Python − SEBE, kWh/m²/yr)</t>
  </si>
  <si>
    <t xml:space="preserve">MAE (kWh/m²/yr)</t>
  </si>
  <si>
    <t xml:space="preserve">RMSE (kWh/m²/yr)</t>
  </si>
  <si>
    <t xml:space="preserve">NMBE (bias as % of SEBE mean)</t>
  </si>
  <si>
    <t xml:space="preserve">NRMSE (RMSE as % of SEBE mean)</t>
  </si>
  <si>
    <t xml:space="preserve">Median % difference</t>
  </si>
  <si>
    <t xml:space="preserve">Pearson r</t>
  </si>
  <si>
    <t xml:space="preserve">R²</t>
  </si>
  <si>
    <t xml:space="preserve">Regression slope (Python vs SEBE)</t>
  </si>
  <si>
    <t xml:space="preserve">Regression intercept (kWh/m²/yr)</t>
  </si>
  <si>
    <t xml:space="preserve">Roofs where Python &gt; SEBE</t>
  </si>
  <si>
    <t xml:space="preserve">Spearman rho</t>
  </si>
  <si>
    <t xml:space="preserve">Wilcoxon signed-rank p-value</t>
  </si>
  <si>
    <t xml:space="preserve">Green = linked from the area summary sheets. Positive bias = Python higher than SEBE.</t>
  </si>
  <si>
    <t xml:space="preserve">Raster cell size (m)</t>
  </si>
  <si>
    <t xml:space="preserve">Stated by user: 0.5 m cells</t>
  </si>
  <si>
    <t xml:space="preserve">Raster cell area (m²)</t>
  </si>
  <si>
    <t xml:space="preserve">Used to convert kWh per cell per year to kWh/m²/year</t>
  </si>
  <si>
    <t xml:space="preserve">West area: SEBE vs Python model (per-roof mean, kWh/m²/year)</t>
  </si>
  <si>
    <t xml:space="preserve">Value</t>
  </si>
  <si>
    <t xml:space="preserve">Notes</t>
  </si>
  <si>
    <t xml:space="preserve">Roofs with both a SEBE and a Python mean</t>
  </si>
  <si>
    <t xml:space="preserve">Per-cell kWh/yr ÷ cell area</t>
  </si>
  <si>
    <t xml:space="preserve">Positive = Python higher</t>
  </si>
  <si>
    <t xml:space="preserve">Mean absolute error</t>
  </si>
  <si>
    <t xml:space="preserve">1 = no scaling error</t>
  </si>
  <si>
    <t xml:space="preserve">0 = no constant offset</t>
  </si>
  <si>
    <t xml:space="preserve">Computed in Python (scipy); rank-based, so unit-independent</t>
  </si>
  <si>
    <t xml:space="preserve">Computed in Python (scipy), two-sided, paired</t>
  </si>
  <si>
    <t xml:space="preserve">Blue = values from your shapefiles or computed in Python; black = Excel formulas. Roofs joined on fid (581 matched, same polygons in both files).</t>
  </si>
  <si>
    <t xml:space="preserve">fid</t>
  </si>
  <si>
    <t xml:space="preserve">BUILD_ID</t>
  </si>
  <si>
    <t xml:space="preserve">Pixel count (SEBE)</t>
  </si>
  <si>
    <t xml:space="preserve">Pixel count (Python)</t>
  </si>
  <si>
    <t xml:space="preserve">SEBE mean (kWh/cell/yr)</t>
  </si>
  <si>
    <t xml:space="preserve">Python mean (kWh/cell/yr)</t>
  </si>
  <si>
    <t xml:space="preserve">SEBE mean (kWh/m²/yr)</t>
  </si>
  <si>
    <t xml:space="preserve">Python mean (kWh/m²/yr)</t>
  </si>
  <si>
    <t xml:space="preserve">Difference (Python − SEBE, kWh/m²/yr)</t>
  </si>
  <si>
    <t xml:space="preserve">% difference (vs SEBE)</t>
  </si>
  <si>
    <t xml:space="preserve">East area: SEBE vs Python model (per-roof mean, kWh/m²/year)</t>
  </si>
  <si>
    <t xml:space="preserve">Blue = values from your shapefiles or computed in Python; black = Excel formulas. Roofs joined on fid (279 matched, same polygons in both files).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</si>
</sst>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.0"/>
    <numFmt numFmtId="167" formatCode="0.0%"/>
    <numFmt numFmtId="168" formatCode="0.000"/>
    <numFmt numFmtId="169" formatCode="0.00E+00"/>
    <numFmt numFmtId="170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9"/>
      <name val="Arial"/>
      <family val="0"/>
      <charset val="1"/>
    </font>
    <font>
      <sz val="11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5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</row>
    <row r="3" customFormat="false" ht="15" hidden="false" customHeight="false" outlineLevel="0" collapsed="false">
      <c r="A3" s="3" t="s">
        <v>4</v>
      </c>
      <c r="B3" s="4" t="n">
        <f aca="false">West_Summary!B3</f>
        <v>581</v>
      </c>
      <c r="C3" s="4" t="n">
        <f aca="false">East_Summary!B3</f>
        <v>279</v>
      </c>
    </row>
    <row r="4" customFormat="false" ht="15" hidden="false" customHeight="false" outlineLevel="0" collapsed="false">
      <c r="A4" s="3" t="s">
        <v>5</v>
      </c>
      <c r="B4" s="5" t="n">
        <f aca="false">West_Summary!B4</f>
        <v>1334.35939720889</v>
      </c>
      <c r="C4" s="5" t="n">
        <f aca="false">East_Summary!B4</f>
        <v>1253.29235600153</v>
      </c>
    </row>
    <row r="5" customFormat="false" ht="15" hidden="false" customHeight="false" outlineLevel="0" collapsed="false">
      <c r="A5" s="3" t="s">
        <v>6</v>
      </c>
      <c r="B5" s="5" t="n">
        <f aca="false">West_Summary!B5</f>
        <v>1459.02376999714</v>
      </c>
      <c r="C5" s="5" t="n">
        <f aca="false">East_Summary!B5</f>
        <v>1376.70138675938</v>
      </c>
    </row>
    <row r="6" customFormat="false" ht="15" hidden="false" customHeight="false" outlineLevel="0" collapsed="false">
      <c r="A6" s="3" t="s">
        <v>7</v>
      </c>
      <c r="B6" s="5" t="n">
        <f aca="false">West_Summary!B6</f>
        <v>124.664372788251</v>
      </c>
      <c r="C6" s="5" t="n">
        <f aca="false">East_Summary!B6</f>
        <v>123.409030757848</v>
      </c>
    </row>
    <row r="7" customFormat="false" ht="15" hidden="false" customHeight="false" outlineLevel="0" collapsed="false">
      <c r="A7" s="3" t="s">
        <v>8</v>
      </c>
      <c r="B7" s="5" t="n">
        <f aca="false">West_Summary!B7</f>
        <v>124.664372788251</v>
      </c>
      <c r="C7" s="5" t="n">
        <f aca="false">East_Summary!B7</f>
        <v>123.409030757848</v>
      </c>
    </row>
    <row r="8" customFormat="false" ht="15" hidden="false" customHeight="false" outlineLevel="0" collapsed="false">
      <c r="A8" s="3" t="s">
        <v>9</v>
      </c>
      <c r="B8" s="5" t="n">
        <f aca="false">West_Summary!B8</f>
        <v>130.928873574833</v>
      </c>
      <c r="C8" s="5" t="n">
        <f aca="false">East_Summary!B8</f>
        <v>129.301674411758</v>
      </c>
    </row>
    <row r="9" customFormat="false" ht="15" hidden="false" customHeight="false" outlineLevel="0" collapsed="false">
      <c r="A9" s="3" t="s">
        <v>10</v>
      </c>
      <c r="B9" s="6" t="n">
        <f aca="false">West_Summary!B9</f>
        <v>0.0934263835133285</v>
      </c>
      <c r="C9" s="6" t="n">
        <f aca="false">East_Summary!B9</f>
        <v>0.0984678715759257</v>
      </c>
    </row>
    <row r="10" customFormat="false" ht="15" hidden="false" customHeight="false" outlineLevel="0" collapsed="false">
      <c r="A10" s="3" t="s">
        <v>11</v>
      </c>
      <c r="B10" s="6" t="n">
        <f aca="false">West_Summary!B10</f>
        <v>0.0981211462584221</v>
      </c>
      <c r="C10" s="6" t="n">
        <f aca="false">East_Summary!B10</f>
        <v>0.103169602680957</v>
      </c>
    </row>
    <row r="11" customFormat="false" ht="15" hidden="false" customHeight="false" outlineLevel="0" collapsed="false">
      <c r="A11" s="3" t="s">
        <v>12</v>
      </c>
      <c r="B11" s="6" t="n">
        <f aca="false">West_Summary!B11</f>
        <v>0.0873607283417895</v>
      </c>
      <c r="C11" s="6" t="n">
        <f aca="false">East_Summary!B11</f>
        <v>0.0874194616135971</v>
      </c>
    </row>
    <row r="12" customFormat="false" ht="15" hidden="false" customHeight="false" outlineLevel="0" collapsed="false">
      <c r="A12" s="3" t="s">
        <v>13</v>
      </c>
      <c r="B12" s="7" t="n">
        <f aca="false">West_Summary!B12</f>
        <v>0.955791747498975</v>
      </c>
      <c r="C12" s="7" t="n">
        <f aca="false">East_Summary!B12</f>
        <v>0.981095640822751</v>
      </c>
    </row>
    <row r="13" customFormat="false" ht="15" hidden="false" customHeight="false" outlineLevel="0" collapsed="false">
      <c r="A13" s="3" t="s">
        <v>14</v>
      </c>
      <c r="B13" s="7" t="n">
        <f aca="false">West_Summary!B13</f>
        <v>0.913537864587144</v>
      </c>
      <c r="C13" s="7" t="n">
        <f aca="false">East_Summary!B13</f>
        <v>0.962548656441404</v>
      </c>
    </row>
    <row r="14" customFormat="false" ht="15" hidden="false" customHeight="false" outlineLevel="0" collapsed="false">
      <c r="A14" s="3" t="s">
        <v>15</v>
      </c>
      <c r="B14" s="7" t="n">
        <f aca="false">West_Summary!B14</f>
        <v>0.871747078450543</v>
      </c>
      <c r="C14" s="7" t="n">
        <f aca="false">East_Summary!B14</f>
        <v>0.834735893852296</v>
      </c>
    </row>
    <row r="15" customFormat="false" ht="15" hidden="false" customHeight="false" outlineLevel="0" collapsed="false">
      <c r="A15" s="3" t="s">
        <v>16</v>
      </c>
      <c r="B15" s="5" t="n">
        <f aca="false">West_Summary!B15</f>
        <v>295.799863877263</v>
      </c>
      <c r="C15" s="5" t="n">
        <f aca="false">East_Summary!B15</f>
        <v>330.533271714192</v>
      </c>
    </row>
    <row r="16" customFormat="false" ht="15" hidden="false" customHeight="false" outlineLevel="0" collapsed="false">
      <c r="A16" s="3" t="s">
        <v>17</v>
      </c>
      <c r="B16" s="4" t="n">
        <f aca="false">West_Summary!B16</f>
        <v>581</v>
      </c>
      <c r="C16" s="4" t="n">
        <f aca="false">East_Summary!B16</f>
        <v>279</v>
      </c>
    </row>
    <row r="17" customFormat="false" ht="15" hidden="false" customHeight="false" outlineLevel="0" collapsed="false">
      <c r="A17" s="3" t="s">
        <v>18</v>
      </c>
      <c r="B17" s="7" t="n">
        <f aca="false">West_Summary!B17</f>
        <v>0.949</v>
      </c>
      <c r="C17" s="7" t="n">
        <f aca="false">East_Summary!B17</f>
        <v>0.9426</v>
      </c>
    </row>
    <row r="18" customFormat="false" ht="15" hidden="false" customHeight="false" outlineLevel="0" collapsed="false">
      <c r="A18" s="3" t="s">
        <v>19</v>
      </c>
      <c r="B18" s="8" t="n">
        <f aca="false">West_Summary!B18</f>
        <v>7.54873412628354E-097</v>
      </c>
      <c r="C18" s="8" t="n">
        <f aca="false">East_Summary!B18</f>
        <v>1.65892547313296E-047</v>
      </c>
    </row>
    <row r="20" customFormat="false" ht="15" hidden="false" customHeight="false" outlineLevel="0" collapsed="false">
      <c r="A20" s="9" t="s">
        <v>20</v>
      </c>
    </row>
    <row r="22" customFormat="false" ht="15" hidden="false" customHeight="false" outlineLevel="0" collapsed="false">
      <c r="A22" s="3" t="s">
        <v>21</v>
      </c>
      <c r="B22" s="10" t="n">
        <v>0.5</v>
      </c>
      <c r="C22" s="3" t="s">
        <v>22</v>
      </c>
    </row>
    <row r="23" customFormat="false" ht="15" hidden="false" customHeight="false" outlineLevel="0" collapsed="false">
      <c r="A23" s="3" t="s">
        <v>23</v>
      </c>
      <c r="B23" s="3" t="n">
        <f aca="false">B22*B22</f>
        <v>0.25</v>
      </c>
      <c r="C23" s="3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56"/>
  </cols>
  <sheetData>
    <row r="1" customFormat="false" ht="16.15" hidden="false" customHeight="false" outlineLevel="0" collapsed="false">
      <c r="A1" s="1" t="s">
        <v>25</v>
      </c>
    </row>
    <row r="2" customFormat="false" ht="15" hidden="false" customHeight="false" outlineLevel="0" collapsed="false">
      <c r="A2" s="2" t="s">
        <v>1</v>
      </c>
      <c r="B2" s="2" t="s">
        <v>26</v>
      </c>
      <c r="C2" s="2" t="s">
        <v>27</v>
      </c>
    </row>
    <row r="3" customFormat="false" ht="15" hidden="false" customHeight="false" outlineLevel="0" collapsed="false">
      <c r="A3" s="3" t="s">
        <v>4</v>
      </c>
      <c r="B3" s="11" t="n">
        <f aca="false">COUNT(West_Roofs!$I$2:$I$582)</f>
        <v>581</v>
      </c>
      <c r="C3" s="3" t="s">
        <v>28</v>
      </c>
    </row>
    <row r="4" customFormat="false" ht="15" hidden="false" customHeight="false" outlineLevel="0" collapsed="false">
      <c r="A4" s="3" t="s">
        <v>5</v>
      </c>
      <c r="B4" s="12" t="n">
        <f aca="false">AVERAGE(West_Roofs!$G$2:$G$582)</f>
        <v>1334.35939720889</v>
      </c>
      <c r="C4" s="3" t="s">
        <v>29</v>
      </c>
    </row>
    <row r="5" customFormat="false" ht="15" hidden="false" customHeight="false" outlineLevel="0" collapsed="false">
      <c r="A5" s="3" t="s">
        <v>6</v>
      </c>
      <c r="B5" s="12" t="n">
        <f aca="false">AVERAGE(West_Roofs!$H$2:$H$582)</f>
        <v>1459.02376999714</v>
      </c>
      <c r="C5" s="3"/>
    </row>
    <row r="6" customFormat="false" ht="15" hidden="false" customHeight="false" outlineLevel="0" collapsed="false">
      <c r="A6" s="3" t="s">
        <v>7</v>
      </c>
      <c r="B6" s="12" t="n">
        <f aca="false">AVERAGE(West_Roofs!$I$2:$I$582)</f>
        <v>124.664372788251</v>
      </c>
      <c r="C6" s="3" t="s">
        <v>30</v>
      </c>
    </row>
    <row r="7" customFormat="false" ht="15" hidden="false" customHeight="false" outlineLevel="0" collapsed="false">
      <c r="A7" s="3" t="s">
        <v>8</v>
      </c>
      <c r="B7" s="12" t="n">
        <f aca="false">SUMPRODUCT(ABS(West_Roofs!$I$2:$I$582))/B3</f>
        <v>124.664372788251</v>
      </c>
      <c r="C7" s="3" t="s">
        <v>31</v>
      </c>
    </row>
    <row r="8" customFormat="false" ht="15" hidden="false" customHeight="false" outlineLevel="0" collapsed="false">
      <c r="A8" s="3" t="s">
        <v>9</v>
      </c>
      <c r="B8" s="12" t="n">
        <f aca="false">SQRT(SUMSQ(West_Roofs!$I$2:$I$582)/B3)</f>
        <v>130.928873574833</v>
      </c>
      <c r="C8" s="3"/>
    </row>
    <row r="9" customFormat="false" ht="15" hidden="false" customHeight="false" outlineLevel="0" collapsed="false">
      <c r="A9" s="3" t="s">
        <v>10</v>
      </c>
      <c r="B9" s="13" t="n">
        <f aca="false">B6/B4</f>
        <v>0.0934263835133285</v>
      </c>
      <c r="C9" s="3"/>
    </row>
    <row r="10" customFormat="false" ht="15" hidden="false" customHeight="false" outlineLevel="0" collapsed="false">
      <c r="A10" s="3" t="s">
        <v>11</v>
      </c>
      <c r="B10" s="13" t="n">
        <f aca="false">B8/B4</f>
        <v>0.0981211462584221</v>
      </c>
      <c r="C10" s="3"/>
    </row>
    <row r="11" customFormat="false" ht="15" hidden="false" customHeight="false" outlineLevel="0" collapsed="false">
      <c r="A11" s="3" t="s">
        <v>12</v>
      </c>
      <c r="B11" s="13" t="n">
        <f aca="false">MEDIAN(West_Roofs!$J$2:$J$582)</f>
        <v>0.0873607283417895</v>
      </c>
      <c r="C11" s="3"/>
    </row>
    <row r="12" customFormat="false" ht="15" hidden="false" customHeight="false" outlineLevel="0" collapsed="false">
      <c r="A12" s="3" t="s">
        <v>13</v>
      </c>
      <c r="B12" s="14" t="n">
        <f aca="false">CORREL(West_Roofs!$G$2:$G$582,West_Roofs!$H$2:$H$582)</f>
        <v>0.955791747498975</v>
      </c>
      <c r="C12" s="3"/>
    </row>
    <row r="13" customFormat="false" ht="15" hidden="false" customHeight="false" outlineLevel="0" collapsed="false">
      <c r="A13" s="3" t="s">
        <v>14</v>
      </c>
      <c r="B13" s="14" t="n">
        <f aca="false">RSQ(West_Roofs!$H$2:$H$582,West_Roofs!$G$2:$G$582)</f>
        <v>0.913537864587144</v>
      </c>
      <c r="C13" s="3"/>
    </row>
    <row r="14" customFormat="false" ht="15" hidden="false" customHeight="false" outlineLevel="0" collapsed="false">
      <c r="A14" s="3" t="s">
        <v>15</v>
      </c>
      <c r="B14" s="14" t="n">
        <f aca="false">SLOPE(West_Roofs!$H$2:$H$582,West_Roofs!$G$2:$G$582)</f>
        <v>0.871747078450543</v>
      </c>
      <c r="C14" s="3" t="s">
        <v>32</v>
      </c>
    </row>
    <row r="15" customFormat="false" ht="15" hidden="false" customHeight="false" outlineLevel="0" collapsed="false">
      <c r="A15" s="3" t="s">
        <v>16</v>
      </c>
      <c r="B15" s="12" t="n">
        <f aca="false">INTERCEPT(West_Roofs!$H$2:$H$582,West_Roofs!$G$2:$G$582)</f>
        <v>295.799863877263</v>
      </c>
      <c r="C15" s="3" t="s">
        <v>33</v>
      </c>
    </row>
    <row r="16" customFormat="false" ht="15" hidden="false" customHeight="false" outlineLevel="0" collapsed="false">
      <c r="A16" s="3" t="s">
        <v>17</v>
      </c>
      <c r="B16" s="11" t="n">
        <f aca="false">COUNTIF(West_Roofs!$I$2:$I$582,"&gt;0")</f>
        <v>581</v>
      </c>
      <c r="C16" s="3"/>
    </row>
    <row r="17" customFormat="false" ht="15" hidden="false" customHeight="false" outlineLevel="0" collapsed="false">
      <c r="A17" s="3" t="s">
        <v>18</v>
      </c>
      <c r="B17" s="15" t="n">
        <v>0.949</v>
      </c>
      <c r="C17" s="3" t="s">
        <v>34</v>
      </c>
    </row>
    <row r="18" customFormat="false" ht="15" hidden="false" customHeight="false" outlineLevel="0" collapsed="false">
      <c r="A18" s="3" t="s">
        <v>19</v>
      </c>
      <c r="B18" s="16" t="n">
        <v>7.54873412628354E-097</v>
      </c>
      <c r="C18" s="3" t="s">
        <v>35</v>
      </c>
    </row>
    <row r="20" customFormat="false" ht="15" hidden="false" customHeight="false" outlineLevel="0" collapsed="false">
      <c r="A20" s="9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4" min="3" style="0" width="13"/>
    <col collapsed="false" customWidth="true" hidden="false" outlineLevel="0" max="8" min="5" style="0" width="14"/>
    <col collapsed="false" customWidth="true" hidden="false" outlineLevel="0" max="9" min="9" style="0" width="18"/>
    <col collapsed="false" customWidth="true" hidden="false" outlineLevel="0" max="10" min="10" style="0" width="14"/>
  </cols>
  <sheetData>
    <row r="1" customFormat="false" ht="57.75" hidden="false" customHeight="true" outlineLevel="0" collapsed="false">
      <c r="A1" s="17" t="s">
        <v>37</v>
      </c>
      <c r="B1" s="17" t="s">
        <v>38</v>
      </c>
      <c r="C1" s="17" t="s">
        <v>39</v>
      </c>
      <c r="D1" s="17" t="s">
        <v>40</v>
      </c>
      <c r="E1" s="17" t="s">
        <v>41</v>
      </c>
      <c r="F1" s="17" t="s">
        <v>42</v>
      </c>
      <c r="G1" s="17" t="s">
        <v>43</v>
      </c>
      <c r="H1" s="17" t="s">
        <v>44</v>
      </c>
      <c r="I1" s="17" t="s">
        <v>45</v>
      </c>
      <c r="J1" s="17" t="s">
        <v>46</v>
      </c>
    </row>
    <row r="2" customFormat="false" ht="15" hidden="false" customHeight="false" outlineLevel="0" collapsed="false">
      <c r="A2" s="3" t="n">
        <v>39202</v>
      </c>
      <c r="B2" s="3" t="n">
        <v>463734</v>
      </c>
      <c r="C2" s="18" t="n">
        <v>190</v>
      </c>
      <c r="D2" s="18" t="n">
        <v>190</v>
      </c>
      <c r="E2" s="19" t="n">
        <v>293.960287796824</v>
      </c>
      <c r="F2" s="19" t="n">
        <v>332.27441679302</v>
      </c>
      <c r="G2" s="12" t="n">
        <f aca="false">E2/Combined_Summary!$B$23</f>
        <v>1175.84115118729</v>
      </c>
      <c r="H2" s="12" t="n">
        <f aca="false">F2/Combined_Summary!$B$23</f>
        <v>1329.09766717208</v>
      </c>
      <c r="I2" s="12" t="n">
        <f aca="false">H2-G2</f>
        <v>153.256515984786</v>
      </c>
      <c r="J2" s="13" t="n">
        <f aca="false">IF(G2=0,"",I2/G2)</f>
        <v>0.130337772096203</v>
      </c>
    </row>
    <row r="3" customFormat="false" ht="15" hidden="false" customHeight="false" outlineLevel="0" collapsed="false">
      <c r="A3" s="3" t="n">
        <v>39212</v>
      </c>
      <c r="B3" s="3" t="n">
        <v>187531</v>
      </c>
      <c r="C3" s="18" t="n">
        <v>371</v>
      </c>
      <c r="D3" s="18" t="n">
        <v>371</v>
      </c>
      <c r="E3" s="19" t="n">
        <v>348.349682933879</v>
      </c>
      <c r="F3" s="19" t="n">
        <v>376.422094175436</v>
      </c>
      <c r="G3" s="12" t="n">
        <f aca="false">E3/Combined_Summary!$B$23</f>
        <v>1393.39873173552</v>
      </c>
      <c r="H3" s="12" t="n">
        <f aca="false">F3/Combined_Summary!$B$23</f>
        <v>1505.68837670175</v>
      </c>
      <c r="I3" s="12" t="n">
        <f aca="false">H3-G3</f>
        <v>112.289644966228</v>
      </c>
      <c r="J3" s="13" t="n">
        <f aca="false">IF(G3=0,"",I3/G3)</f>
        <v>0.0805868718040012</v>
      </c>
    </row>
    <row r="4" customFormat="false" ht="15" hidden="false" customHeight="false" outlineLevel="0" collapsed="false">
      <c r="A4" s="3" t="n">
        <v>39213</v>
      </c>
      <c r="B4" s="3" t="n">
        <v>187549</v>
      </c>
      <c r="C4" s="18" t="n">
        <v>410</v>
      </c>
      <c r="D4" s="18" t="n">
        <v>410</v>
      </c>
      <c r="E4" s="19" t="n">
        <v>347.679661262326</v>
      </c>
      <c r="F4" s="19" t="n">
        <v>381.702864428264</v>
      </c>
      <c r="G4" s="12" t="n">
        <f aca="false">E4/Combined_Summary!$B$23</f>
        <v>1390.7186450493</v>
      </c>
      <c r="H4" s="12" t="n">
        <f aca="false">F4/Combined_Summary!$B$23</f>
        <v>1526.81145771306</v>
      </c>
      <c r="I4" s="12" t="n">
        <f aca="false">H4-G4</f>
        <v>136.092812663753</v>
      </c>
      <c r="J4" s="13" t="n">
        <f aca="false">IF(G4=0,"",I4/G4)</f>
        <v>0.0978579047230133</v>
      </c>
    </row>
    <row r="5" customFormat="false" ht="15" hidden="false" customHeight="false" outlineLevel="0" collapsed="false">
      <c r="A5" s="3" t="n">
        <v>39214</v>
      </c>
      <c r="B5" s="3" t="n">
        <v>187550</v>
      </c>
      <c r="C5" s="18" t="n">
        <v>383</v>
      </c>
      <c r="D5" s="18" t="n">
        <v>383</v>
      </c>
      <c r="E5" s="19" t="n">
        <v>340.457715544937</v>
      </c>
      <c r="F5" s="19" t="n">
        <v>370.499456301059</v>
      </c>
      <c r="G5" s="12" t="n">
        <f aca="false">E5/Combined_Summary!$B$23</f>
        <v>1361.83086217975</v>
      </c>
      <c r="H5" s="12" t="n">
        <f aca="false">F5/Combined_Summary!$B$23</f>
        <v>1481.99782520424</v>
      </c>
      <c r="I5" s="12" t="n">
        <f aca="false">H5-G5</f>
        <v>120.166963024488</v>
      </c>
      <c r="J5" s="13" t="n">
        <f aca="false">IF(G5=0,"",I5/G5)</f>
        <v>0.0882392713821661</v>
      </c>
    </row>
    <row r="6" customFormat="false" ht="15" hidden="false" customHeight="false" outlineLevel="0" collapsed="false">
      <c r="A6" s="3" t="n">
        <v>39215</v>
      </c>
      <c r="B6" s="3" t="n">
        <v>187601</v>
      </c>
      <c r="C6" s="18" t="n">
        <v>537</v>
      </c>
      <c r="D6" s="18" t="n">
        <v>537</v>
      </c>
      <c r="E6" s="19" t="n">
        <v>338.335209006482</v>
      </c>
      <c r="F6" s="19" t="n">
        <v>367.548647619493</v>
      </c>
      <c r="G6" s="12" t="n">
        <f aca="false">E6/Combined_Summary!$B$23</f>
        <v>1353.34083602593</v>
      </c>
      <c r="H6" s="12" t="n">
        <f aca="false">F6/Combined_Summary!$B$23</f>
        <v>1470.19459047797</v>
      </c>
      <c r="I6" s="12" t="n">
        <f aca="false">H6-G6</f>
        <v>116.853754452043</v>
      </c>
      <c r="J6" s="13" t="n">
        <f aca="false">IF(G6=0,"",I6/G6)</f>
        <v>0.0863446600748284</v>
      </c>
    </row>
    <row r="7" customFormat="false" ht="15" hidden="false" customHeight="false" outlineLevel="0" collapsed="false">
      <c r="A7" s="3" t="n">
        <v>39216</v>
      </c>
      <c r="B7" s="3" t="n">
        <v>187652</v>
      </c>
      <c r="C7" s="18" t="n">
        <v>620</v>
      </c>
      <c r="D7" s="18" t="n">
        <v>620</v>
      </c>
      <c r="E7" s="19" t="n">
        <v>325.150722792841</v>
      </c>
      <c r="F7" s="19" t="n">
        <v>364.206164661531</v>
      </c>
      <c r="G7" s="12" t="n">
        <f aca="false">E7/Combined_Summary!$B$23</f>
        <v>1300.60289117136</v>
      </c>
      <c r="H7" s="12" t="n">
        <f aca="false">F7/Combined_Summary!$B$23</f>
        <v>1456.82465864612</v>
      </c>
      <c r="I7" s="12" t="n">
        <f aca="false">H7-G7</f>
        <v>156.221767474759</v>
      </c>
      <c r="J7" s="13" t="n">
        <f aca="false">IF(G7=0,"",I7/G7)</f>
        <v>0.120114885592835</v>
      </c>
    </row>
    <row r="8" customFormat="false" ht="15" hidden="false" customHeight="false" outlineLevel="0" collapsed="false">
      <c r="A8" s="3" t="n">
        <v>39217</v>
      </c>
      <c r="B8" s="3" t="n">
        <v>182452</v>
      </c>
      <c r="C8" s="18" t="n">
        <v>624</v>
      </c>
      <c r="D8" s="18" t="n">
        <v>624</v>
      </c>
      <c r="E8" s="19" t="n">
        <v>332.594534452145</v>
      </c>
      <c r="F8" s="19" t="n">
        <v>361.945503516075</v>
      </c>
      <c r="G8" s="12" t="n">
        <f aca="false">E8/Combined_Summary!$B$23</f>
        <v>1330.37813780858</v>
      </c>
      <c r="H8" s="12" t="n">
        <f aca="false">F8/Combined_Summary!$B$23</f>
        <v>1447.7820140643</v>
      </c>
      <c r="I8" s="12" t="n">
        <f aca="false">H8-G8</f>
        <v>117.40387625572</v>
      </c>
      <c r="J8" s="13" t="n">
        <f aca="false">IF(G8=0,"",I8/G8)</f>
        <v>0.0882485008729247</v>
      </c>
    </row>
    <row r="9" customFormat="false" ht="15" hidden="false" customHeight="false" outlineLevel="0" collapsed="false">
      <c r="A9" s="3" t="n">
        <v>39228</v>
      </c>
      <c r="B9" s="3" t="n">
        <v>187584</v>
      </c>
      <c r="C9" s="18" t="n">
        <v>367</v>
      </c>
      <c r="D9" s="18" t="n">
        <v>367</v>
      </c>
      <c r="E9" s="19" t="n">
        <v>311.685064955044</v>
      </c>
      <c r="F9" s="19" t="n">
        <v>352.085132359809</v>
      </c>
      <c r="G9" s="12" t="n">
        <f aca="false">E9/Combined_Summary!$B$23</f>
        <v>1246.74025982017</v>
      </c>
      <c r="H9" s="12" t="n">
        <f aca="false">F9/Combined_Summary!$B$23</f>
        <v>1408.34052943923</v>
      </c>
      <c r="I9" s="12" t="n">
        <f aca="false">H9-G9</f>
        <v>161.600269619061</v>
      </c>
      <c r="J9" s="13" t="n">
        <f aca="false">IF(G9=0,"",I9/G9)</f>
        <v>0.129618233105242</v>
      </c>
    </row>
    <row r="10" customFormat="false" ht="15" hidden="false" customHeight="false" outlineLevel="0" collapsed="false">
      <c r="A10" s="3" t="n">
        <v>39243</v>
      </c>
      <c r="B10" s="3" t="n">
        <v>643816</v>
      </c>
      <c r="C10" s="18" t="n">
        <v>16</v>
      </c>
      <c r="D10" s="18" t="n">
        <v>16</v>
      </c>
      <c r="E10" s="19" t="n">
        <v>414.897106170654</v>
      </c>
      <c r="F10" s="19" t="n">
        <v>481.26322555542</v>
      </c>
      <c r="G10" s="12" t="n">
        <f aca="false">E10/Combined_Summary!$B$23</f>
        <v>1659.58842468262</v>
      </c>
      <c r="H10" s="12" t="n">
        <f aca="false">F10/Combined_Summary!$B$23</f>
        <v>1925.05290222168</v>
      </c>
      <c r="I10" s="12" t="n">
        <f aca="false">H10-G10</f>
        <v>265.464477539063</v>
      </c>
      <c r="J10" s="13" t="n">
        <f aca="false">IF(G10=0,"",I10/G10)</f>
        <v>0.159958019464875</v>
      </c>
    </row>
    <row r="11" customFormat="false" ht="15" hidden="false" customHeight="false" outlineLevel="0" collapsed="false">
      <c r="A11" s="3" t="n">
        <v>39244</v>
      </c>
      <c r="B11" s="3" t="n">
        <v>182281</v>
      </c>
      <c r="C11" s="18" t="n">
        <v>622</v>
      </c>
      <c r="D11" s="18" t="n">
        <v>622</v>
      </c>
      <c r="E11" s="19" t="n">
        <v>351.371382832911</v>
      </c>
      <c r="F11" s="19" t="n">
        <v>377.223657332049</v>
      </c>
      <c r="G11" s="12" t="n">
        <f aca="false">E11/Combined_Summary!$B$23</f>
        <v>1405.48553133164</v>
      </c>
      <c r="H11" s="12" t="n">
        <f aca="false">F11/Combined_Summary!$B$23</f>
        <v>1508.8946293282</v>
      </c>
      <c r="I11" s="12" t="n">
        <f aca="false">H11-G11</f>
        <v>103.409097996555</v>
      </c>
      <c r="J11" s="13" t="n">
        <f aca="false">IF(G11=0,"",I11/G11)</f>
        <v>0.0735753557694608</v>
      </c>
    </row>
    <row r="12" customFormat="false" ht="15" hidden="false" customHeight="false" outlineLevel="0" collapsed="false">
      <c r="A12" s="3" t="n">
        <v>39245</v>
      </c>
      <c r="B12" s="3" t="n">
        <v>643817</v>
      </c>
      <c r="C12" s="18" t="n">
        <v>16</v>
      </c>
      <c r="D12" s="18" t="n">
        <v>16</v>
      </c>
      <c r="E12" s="19" t="n">
        <v>385.702014923096</v>
      </c>
      <c r="F12" s="19" t="n">
        <v>460.285579681397</v>
      </c>
      <c r="G12" s="12" t="n">
        <f aca="false">E12/Combined_Summary!$B$23</f>
        <v>1542.80805969238</v>
      </c>
      <c r="H12" s="12" t="n">
        <f aca="false">F12/Combined_Summary!$B$23</f>
        <v>1841.14231872559</v>
      </c>
      <c r="I12" s="12" t="n">
        <f aca="false">H12-G12</f>
        <v>298.334259033203</v>
      </c>
      <c r="J12" s="13" t="n">
        <f aca="false">IF(G12=0,"",I12/G12)</f>
        <v>0.193370949262922</v>
      </c>
    </row>
    <row r="13" customFormat="false" ht="15" hidden="false" customHeight="false" outlineLevel="0" collapsed="false">
      <c r="A13" s="3" t="n">
        <v>39246</v>
      </c>
      <c r="B13" s="3" t="n">
        <v>187571</v>
      </c>
      <c r="C13" s="18" t="n">
        <v>358</v>
      </c>
      <c r="D13" s="18" t="n">
        <v>358</v>
      </c>
      <c r="E13" s="19" t="n">
        <v>295.571223445445</v>
      </c>
      <c r="F13" s="19" t="n">
        <v>339.422177426642</v>
      </c>
      <c r="G13" s="12" t="n">
        <f aca="false">E13/Combined_Summary!$B$23</f>
        <v>1182.28489378178</v>
      </c>
      <c r="H13" s="12" t="n">
        <f aca="false">F13/Combined_Summary!$B$23</f>
        <v>1357.68870970657</v>
      </c>
      <c r="I13" s="12" t="n">
        <f aca="false">H13-G13</f>
        <v>175.403815924788</v>
      </c>
      <c r="J13" s="13" t="n">
        <f aca="false">IF(G13=0,"",I13/G13)</f>
        <v>0.148360024599252</v>
      </c>
    </row>
    <row r="14" customFormat="false" ht="15" hidden="false" customHeight="false" outlineLevel="0" collapsed="false">
      <c r="A14" s="3" t="n">
        <v>39247</v>
      </c>
      <c r="B14" s="3" t="n">
        <v>187582</v>
      </c>
      <c r="C14" s="18" t="n">
        <v>570</v>
      </c>
      <c r="D14" s="18" t="n">
        <v>570</v>
      </c>
      <c r="E14" s="19" t="n">
        <v>345.312258844208</v>
      </c>
      <c r="F14" s="19" t="n">
        <v>375.14605662028</v>
      </c>
      <c r="G14" s="12" t="n">
        <f aca="false">E14/Combined_Summary!$B$23</f>
        <v>1381.24903537683</v>
      </c>
      <c r="H14" s="12" t="n">
        <f aca="false">F14/Combined_Summary!$B$23</f>
        <v>1500.58422648112</v>
      </c>
      <c r="I14" s="12" t="n">
        <f aca="false">H14-G14</f>
        <v>119.335191104286</v>
      </c>
      <c r="J14" s="13" t="n">
        <f aca="false">IF(G14=0,"",I14/G14)</f>
        <v>0.0863965787832962</v>
      </c>
    </row>
    <row r="15" customFormat="false" ht="15" hidden="false" customHeight="false" outlineLevel="0" collapsed="false">
      <c r="A15" s="3" t="n">
        <v>39248</v>
      </c>
      <c r="B15" s="3" t="n">
        <v>187642</v>
      </c>
      <c r="C15" s="18" t="n">
        <v>358</v>
      </c>
      <c r="D15" s="18" t="n">
        <v>358</v>
      </c>
      <c r="E15" s="19" t="n">
        <v>312.708291741057</v>
      </c>
      <c r="F15" s="19" t="n">
        <v>345.542641922082</v>
      </c>
      <c r="G15" s="12" t="n">
        <f aca="false">E15/Combined_Summary!$B$23</f>
        <v>1250.83316696423</v>
      </c>
      <c r="H15" s="12" t="n">
        <f aca="false">F15/Combined_Summary!$B$23</f>
        <v>1382.17056768833</v>
      </c>
      <c r="I15" s="12" t="n">
        <f aca="false">H15-G15</f>
        <v>131.337400724102</v>
      </c>
      <c r="J15" s="13" t="n">
        <f aca="false">IF(G15=0,"",I15/G15)</f>
        <v>0.104999934597879</v>
      </c>
    </row>
    <row r="16" customFormat="false" ht="15" hidden="false" customHeight="false" outlineLevel="0" collapsed="false">
      <c r="A16" s="3" t="n">
        <v>39281</v>
      </c>
      <c r="B16" s="3" t="n">
        <v>182278</v>
      </c>
      <c r="C16" s="18" t="n">
        <v>568</v>
      </c>
      <c r="D16" s="18" t="n">
        <v>568</v>
      </c>
      <c r="E16" s="19" t="n">
        <v>368.579478048943</v>
      </c>
      <c r="F16" s="19" t="n">
        <v>396.453069915234</v>
      </c>
      <c r="G16" s="12" t="n">
        <f aca="false">E16/Combined_Summary!$B$23</f>
        <v>1474.31791219577</v>
      </c>
      <c r="H16" s="12" t="n">
        <f aca="false">F16/Combined_Summary!$B$23</f>
        <v>1585.81227966094</v>
      </c>
      <c r="I16" s="12" t="n">
        <f aca="false">H16-G16</f>
        <v>111.494367465167</v>
      </c>
      <c r="J16" s="13" t="n">
        <f aca="false">IF(G16=0,"",I16/G16)</f>
        <v>0.0756243728322564</v>
      </c>
    </row>
    <row r="17" customFormat="false" ht="15" hidden="false" customHeight="false" outlineLevel="0" collapsed="false">
      <c r="A17" s="3" t="n">
        <v>39282</v>
      </c>
      <c r="B17" s="3" t="n">
        <v>187434</v>
      </c>
      <c r="C17" s="18" t="n">
        <v>633</v>
      </c>
      <c r="D17" s="18" t="n">
        <v>633</v>
      </c>
      <c r="E17" s="19" t="n">
        <v>298.470011001515</v>
      </c>
      <c r="F17" s="19" t="n">
        <v>333.192993935439</v>
      </c>
      <c r="G17" s="12" t="n">
        <f aca="false">E17/Combined_Summary!$B$23</f>
        <v>1193.88004400606</v>
      </c>
      <c r="H17" s="12" t="n">
        <f aca="false">F17/Combined_Summary!$B$23</f>
        <v>1332.77197574176</v>
      </c>
      <c r="I17" s="12" t="n">
        <f aca="false">H17-G17</f>
        <v>138.891931735697</v>
      </c>
      <c r="J17" s="13" t="n">
        <f aca="false">IF(G17=0,"",I17/G17)</f>
        <v>0.116336588782945</v>
      </c>
    </row>
    <row r="18" customFormat="false" ht="15" hidden="false" customHeight="false" outlineLevel="0" collapsed="false">
      <c r="A18" s="3" t="n">
        <v>39283</v>
      </c>
      <c r="B18" s="3" t="n">
        <v>187578</v>
      </c>
      <c r="C18" s="18" t="n">
        <v>517</v>
      </c>
      <c r="D18" s="18" t="n">
        <v>517</v>
      </c>
      <c r="E18" s="19" t="n">
        <v>350.226053986835</v>
      </c>
      <c r="F18" s="19" t="n">
        <v>385.033517686265</v>
      </c>
      <c r="G18" s="12" t="n">
        <f aca="false">E18/Combined_Summary!$B$23</f>
        <v>1400.90421594734</v>
      </c>
      <c r="H18" s="12" t="n">
        <f aca="false">F18/Combined_Summary!$B$23</f>
        <v>1540.13407074506</v>
      </c>
      <c r="I18" s="12" t="n">
        <f aca="false">H18-G18</f>
        <v>139.229854797717</v>
      </c>
      <c r="J18" s="13" t="n">
        <f aca="false">IF(G18=0,"",I18/G18)</f>
        <v>0.0993857061837485</v>
      </c>
    </row>
    <row r="19" customFormat="false" ht="15" hidden="false" customHeight="false" outlineLevel="0" collapsed="false">
      <c r="A19" s="3" t="n">
        <v>39284</v>
      </c>
      <c r="B19" s="3" t="n">
        <v>187650</v>
      </c>
      <c r="C19" s="18" t="n">
        <v>377</v>
      </c>
      <c r="D19" s="18" t="n">
        <v>377</v>
      </c>
      <c r="E19" s="19" t="n">
        <v>259.317320198848</v>
      </c>
      <c r="F19" s="19" t="n">
        <v>316.429296781909</v>
      </c>
      <c r="G19" s="12" t="n">
        <f aca="false">E19/Combined_Summary!$B$23</f>
        <v>1037.26928079539</v>
      </c>
      <c r="H19" s="12" t="n">
        <f aca="false">F19/Combined_Summary!$B$23</f>
        <v>1265.71718712764</v>
      </c>
      <c r="I19" s="12" t="n">
        <f aca="false">H19-G19</f>
        <v>228.447906332244</v>
      </c>
      <c r="J19" s="13" t="n">
        <f aca="false">IF(G19=0,"",I19/G19)</f>
        <v>0.220239729992839</v>
      </c>
    </row>
    <row r="20" customFormat="false" ht="15" hidden="false" customHeight="false" outlineLevel="0" collapsed="false">
      <c r="A20" s="3" t="n">
        <v>39297</v>
      </c>
      <c r="B20" s="3" t="n">
        <v>463280</v>
      </c>
      <c r="C20" s="18" t="n">
        <v>189</v>
      </c>
      <c r="D20" s="18" t="n">
        <v>189</v>
      </c>
      <c r="E20" s="19" t="n">
        <v>346.826431839554</v>
      </c>
      <c r="F20" s="19" t="n">
        <v>371.102496919178</v>
      </c>
      <c r="G20" s="12" t="n">
        <f aca="false">E20/Combined_Summary!$B$23</f>
        <v>1387.30572735822</v>
      </c>
      <c r="H20" s="12" t="n">
        <f aca="false">F20/Combined_Summary!$B$23</f>
        <v>1484.40998767671</v>
      </c>
      <c r="I20" s="12" t="n">
        <f aca="false">H20-G20</f>
        <v>97.1042603184935</v>
      </c>
      <c r="J20" s="13" t="n">
        <f aca="false">IF(G20=0,"",I20/G20)</f>
        <v>0.0699948529034077</v>
      </c>
    </row>
    <row r="21" customFormat="false" ht="15" hidden="false" customHeight="false" outlineLevel="0" collapsed="false">
      <c r="A21" s="3" t="n">
        <v>39310</v>
      </c>
      <c r="B21" s="3" t="n">
        <v>182295</v>
      </c>
      <c r="C21" s="18" t="n">
        <v>642</v>
      </c>
      <c r="D21" s="18" t="n">
        <v>642</v>
      </c>
      <c r="E21" s="19" t="n">
        <v>375.29485399478</v>
      </c>
      <c r="F21" s="19" t="n">
        <v>395.929692538728</v>
      </c>
      <c r="G21" s="12" t="n">
        <f aca="false">E21/Combined_Summary!$B$23</f>
        <v>1501.17941597912</v>
      </c>
      <c r="H21" s="12" t="n">
        <f aca="false">F21/Combined_Summary!$B$23</f>
        <v>1583.71877015491</v>
      </c>
      <c r="I21" s="12" t="n">
        <f aca="false">H21-G21</f>
        <v>82.5393541757937</v>
      </c>
      <c r="J21" s="13" t="n">
        <f aca="false">IF(G21=0,"",I21/G21)</f>
        <v>0.0549830042280182</v>
      </c>
    </row>
    <row r="22" customFormat="false" ht="15" hidden="false" customHeight="false" outlineLevel="0" collapsed="false">
      <c r="A22" s="3" t="n">
        <v>39311</v>
      </c>
      <c r="B22" s="3" t="n">
        <v>193870</v>
      </c>
      <c r="C22" s="18" t="n">
        <v>438</v>
      </c>
      <c r="D22" s="18" t="n">
        <v>438</v>
      </c>
      <c r="E22" s="19" t="n">
        <v>246.684693584703</v>
      </c>
      <c r="F22" s="19" t="n">
        <v>289.161645950248</v>
      </c>
      <c r="G22" s="12" t="n">
        <f aca="false">E22/Combined_Summary!$B$23</f>
        <v>986.738774338814</v>
      </c>
      <c r="H22" s="12" t="n">
        <f aca="false">F22/Combined_Summary!$B$23</f>
        <v>1156.64658380099</v>
      </c>
      <c r="I22" s="12" t="n">
        <f aca="false">H22-G22</f>
        <v>169.907809462177</v>
      </c>
      <c r="J22" s="13" t="n">
        <f aca="false">IF(G22=0,"",I22/G22)</f>
        <v>0.172191276841257</v>
      </c>
    </row>
    <row r="23" customFormat="false" ht="15" hidden="false" customHeight="false" outlineLevel="0" collapsed="false">
      <c r="A23" s="3" t="n">
        <v>39312</v>
      </c>
      <c r="B23" s="3" t="n">
        <v>638460</v>
      </c>
      <c r="C23" s="18" t="n">
        <v>16</v>
      </c>
      <c r="D23" s="18" t="n">
        <v>16</v>
      </c>
      <c r="E23" s="19" t="n">
        <v>242.958381652832</v>
      </c>
      <c r="F23" s="19" t="n">
        <v>289.726566314697</v>
      </c>
      <c r="G23" s="12" t="n">
        <f aca="false">E23/Combined_Summary!$B$23</f>
        <v>971.833526611328</v>
      </c>
      <c r="H23" s="12" t="n">
        <f aca="false">F23/Combined_Summary!$B$23</f>
        <v>1158.90626525879</v>
      </c>
      <c r="I23" s="12" t="n">
        <f aca="false">H23-G23</f>
        <v>187.072738647461</v>
      </c>
      <c r="J23" s="13" t="n">
        <f aca="false">IF(G23=0,"",I23/G23)</f>
        <v>0.192494633622862</v>
      </c>
    </row>
    <row r="24" customFormat="false" ht="15" hidden="false" customHeight="false" outlineLevel="0" collapsed="false">
      <c r="A24" s="3" t="n">
        <v>39331</v>
      </c>
      <c r="B24" s="3" t="n">
        <v>188681</v>
      </c>
      <c r="C24" s="18" t="n">
        <v>688</v>
      </c>
      <c r="D24" s="18" t="n">
        <v>688</v>
      </c>
      <c r="E24" s="19" t="n">
        <v>350.063864996267</v>
      </c>
      <c r="F24" s="19" t="n">
        <v>378.8081109801</v>
      </c>
      <c r="G24" s="12" t="n">
        <f aca="false">E24/Combined_Summary!$B$23</f>
        <v>1400.25545998507</v>
      </c>
      <c r="H24" s="12" t="n">
        <f aca="false">F24/Combined_Summary!$B$23</f>
        <v>1515.2324439204</v>
      </c>
      <c r="I24" s="12" t="n">
        <f aca="false">H24-G24</f>
        <v>114.976983935334</v>
      </c>
      <c r="J24" s="13" t="n">
        <f aca="false">IF(G24=0,"",I24/G24)</f>
        <v>0.0821114341068595</v>
      </c>
    </row>
    <row r="25" customFormat="false" ht="15" hidden="false" customHeight="false" outlineLevel="0" collapsed="false">
      <c r="A25" s="3" t="n">
        <v>39332</v>
      </c>
      <c r="B25" s="3" t="n">
        <v>635070</v>
      </c>
      <c r="C25" s="18" t="n">
        <v>16</v>
      </c>
      <c r="D25" s="18" t="n">
        <v>16</v>
      </c>
      <c r="E25" s="19" t="n">
        <v>306.970258712769</v>
      </c>
      <c r="F25" s="19" t="n">
        <v>337.777111053467</v>
      </c>
      <c r="G25" s="12" t="n">
        <f aca="false">E25/Combined_Summary!$B$23</f>
        <v>1227.88103485107</v>
      </c>
      <c r="H25" s="12" t="n">
        <f aca="false">F25/Combined_Summary!$B$23</f>
        <v>1351.10844421387</v>
      </c>
      <c r="I25" s="12" t="n">
        <f aca="false">H25-G25</f>
        <v>123.227409362793</v>
      </c>
      <c r="J25" s="13" t="n">
        <f aca="false">IF(G25=0,"",I25/G25)</f>
        <v>0.100357775603024</v>
      </c>
    </row>
    <row r="26" customFormat="false" ht="15" hidden="false" customHeight="false" outlineLevel="0" collapsed="false">
      <c r="A26" s="3" t="n">
        <v>39351</v>
      </c>
      <c r="B26" s="3" t="n">
        <v>188680</v>
      </c>
      <c r="C26" s="18" t="n">
        <v>615</v>
      </c>
      <c r="D26" s="18" t="n">
        <v>615</v>
      </c>
      <c r="E26" s="19" t="n">
        <v>347.254947420446</v>
      </c>
      <c r="F26" s="19" t="n">
        <v>376.463758490338</v>
      </c>
      <c r="G26" s="12" t="n">
        <f aca="false">E26/Combined_Summary!$B$23</f>
        <v>1389.01978968178</v>
      </c>
      <c r="H26" s="12" t="n">
        <f aca="false">F26/Combined_Summary!$B$23</f>
        <v>1505.85503396135</v>
      </c>
      <c r="I26" s="12" t="n">
        <f aca="false">H26-G26</f>
        <v>116.835244279567</v>
      </c>
      <c r="J26" s="13" t="n">
        <f aca="false">IF(G26=0,"",I26/G26)</f>
        <v>0.084113448308993</v>
      </c>
    </row>
    <row r="27" customFormat="false" ht="15" hidden="false" customHeight="false" outlineLevel="0" collapsed="false">
      <c r="A27" s="3" t="n">
        <v>39352</v>
      </c>
      <c r="B27" s="3" t="n">
        <v>188682</v>
      </c>
      <c r="C27" s="18" t="n">
        <v>383</v>
      </c>
      <c r="D27" s="18" t="n">
        <v>383</v>
      </c>
      <c r="E27" s="19" t="n">
        <v>361.223751396797</v>
      </c>
      <c r="F27" s="19" t="n">
        <v>398.2500486847</v>
      </c>
      <c r="G27" s="12" t="n">
        <f aca="false">E27/Combined_Summary!$B$23</f>
        <v>1444.89500558719</v>
      </c>
      <c r="H27" s="12" t="n">
        <f aca="false">F27/Combined_Summary!$B$23</f>
        <v>1593.0001947388</v>
      </c>
      <c r="I27" s="12" t="n">
        <f aca="false">H27-G27</f>
        <v>148.105189151614</v>
      </c>
      <c r="J27" s="13" t="n">
        <f aca="false">IF(G27=0,"",I27/G27)</f>
        <v>0.102502388463462</v>
      </c>
    </row>
    <row r="28" customFormat="false" ht="15" hidden="false" customHeight="false" outlineLevel="0" collapsed="false">
      <c r="A28" s="3" t="n">
        <v>39353</v>
      </c>
      <c r="B28" s="3" t="n">
        <v>188676</v>
      </c>
      <c r="C28" s="18" t="n">
        <v>438</v>
      </c>
      <c r="D28" s="18" t="n">
        <v>438</v>
      </c>
      <c r="E28" s="19" t="n">
        <v>334.244073240724</v>
      </c>
      <c r="F28" s="19" t="n">
        <v>364.896735239247</v>
      </c>
      <c r="G28" s="12" t="n">
        <f aca="false">E28/Combined_Summary!$B$23</f>
        <v>1336.9762929629</v>
      </c>
      <c r="H28" s="12" t="n">
        <f aca="false">F28/Combined_Summary!$B$23</f>
        <v>1459.58694095699</v>
      </c>
      <c r="I28" s="12" t="n">
        <f aca="false">H28-G28</f>
        <v>122.61064799409</v>
      </c>
      <c r="J28" s="13" t="n">
        <f aca="false">IF(G28=0,"",I28/G28)</f>
        <v>0.0917074211707749</v>
      </c>
    </row>
    <row r="29" customFormat="false" ht="15" hidden="false" customHeight="false" outlineLevel="0" collapsed="false">
      <c r="A29" s="3" t="n">
        <v>39354</v>
      </c>
      <c r="B29" s="3" t="n">
        <v>187669</v>
      </c>
      <c r="C29" s="18" t="n">
        <v>749</v>
      </c>
      <c r="D29" s="18" t="n">
        <v>749</v>
      </c>
      <c r="E29" s="19" t="n">
        <v>359.916110376172</v>
      </c>
      <c r="F29" s="19" t="n">
        <v>391.573394001247</v>
      </c>
      <c r="G29" s="12" t="n">
        <f aca="false">E29/Combined_Summary!$B$23</f>
        <v>1439.66444150469</v>
      </c>
      <c r="H29" s="12" t="n">
        <f aca="false">F29/Combined_Summary!$B$23</f>
        <v>1566.29357600499</v>
      </c>
      <c r="I29" s="12" t="n">
        <f aca="false">H29-G29</f>
        <v>126.629134500298</v>
      </c>
      <c r="J29" s="13" t="n">
        <f aca="false">IF(G29=0,"",I29/G29)</f>
        <v>0.0879573953830166</v>
      </c>
    </row>
    <row r="30" customFormat="false" ht="15" hidden="false" customHeight="false" outlineLevel="0" collapsed="false">
      <c r="A30" s="3" t="n">
        <v>39374</v>
      </c>
      <c r="B30" s="3" t="n">
        <v>565550</v>
      </c>
      <c r="C30" s="18" t="n">
        <v>16</v>
      </c>
      <c r="D30" s="18" t="n">
        <v>16</v>
      </c>
      <c r="E30" s="19" t="n">
        <v>303.013656616211</v>
      </c>
      <c r="F30" s="19" t="n">
        <v>322.822502136231</v>
      </c>
      <c r="G30" s="12" t="n">
        <f aca="false">E30/Combined_Summary!$B$23</f>
        <v>1212.05462646484</v>
      </c>
      <c r="H30" s="12" t="n">
        <f aca="false">F30/Combined_Summary!$B$23</f>
        <v>1291.29000854492</v>
      </c>
      <c r="I30" s="12" t="n">
        <f aca="false">H30-G30</f>
        <v>79.2353820800786</v>
      </c>
      <c r="J30" s="13" t="n">
        <f aca="false">IF(G30=0,"",I30/G30)</f>
        <v>0.0653727813499476</v>
      </c>
    </row>
    <row r="31" customFormat="false" ht="15" hidden="false" customHeight="false" outlineLevel="0" collapsed="false">
      <c r="A31" s="3" t="n">
        <v>39375</v>
      </c>
      <c r="B31" s="3" t="n">
        <v>188673</v>
      </c>
      <c r="C31" s="18" t="n">
        <v>532</v>
      </c>
      <c r="D31" s="18" t="n">
        <v>532</v>
      </c>
      <c r="E31" s="19" t="n">
        <v>348.047105416319</v>
      </c>
      <c r="F31" s="19" t="n">
        <v>374.764494100011</v>
      </c>
      <c r="G31" s="12" t="n">
        <f aca="false">E31/Combined_Summary!$B$23</f>
        <v>1392.18842166528</v>
      </c>
      <c r="H31" s="12" t="n">
        <f aca="false">F31/Combined_Summary!$B$23</f>
        <v>1499.05797640005</v>
      </c>
      <c r="I31" s="12" t="n">
        <f aca="false">H31-G31</f>
        <v>106.869554734768</v>
      </c>
      <c r="J31" s="13" t="n">
        <f aca="false">IF(G31=0,"",I31/G31)</f>
        <v>0.0767637146464234</v>
      </c>
    </row>
    <row r="32" customFormat="false" ht="15" hidden="false" customHeight="false" outlineLevel="0" collapsed="false">
      <c r="A32" s="3" t="n">
        <v>39388</v>
      </c>
      <c r="B32" s="3" t="n">
        <v>180947</v>
      </c>
      <c r="C32" s="18" t="n">
        <v>623</v>
      </c>
      <c r="D32" s="18" t="n">
        <v>623</v>
      </c>
      <c r="E32" s="19" t="n">
        <v>346.537580695237</v>
      </c>
      <c r="F32" s="19" t="n">
        <v>369.63939540612</v>
      </c>
      <c r="G32" s="12" t="n">
        <f aca="false">E32/Combined_Summary!$B$23</f>
        <v>1386.15032278095</v>
      </c>
      <c r="H32" s="12" t="n">
        <f aca="false">F32/Combined_Summary!$B$23</f>
        <v>1478.55758162448</v>
      </c>
      <c r="I32" s="12" t="n">
        <f aca="false">H32-G32</f>
        <v>92.4072588435336</v>
      </c>
      <c r="J32" s="13" t="n">
        <f aca="false">IF(G32=0,"",I32/G32)</f>
        <v>0.0666646736106822</v>
      </c>
    </row>
    <row r="33" customFormat="false" ht="15" hidden="false" customHeight="false" outlineLevel="0" collapsed="false">
      <c r="A33" s="3" t="n">
        <v>39414</v>
      </c>
      <c r="B33" s="3" t="n">
        <v>187766</v>
      </c>
      <c r="C33" s="18" t="n">
        <v>416</v>
      </c>
      <c r="D33" s="18" t="n">
        <v>416</v>
      </c>
      <c r="E33" s="19" t="n">
        <v>357.281086151417</v>
      </c>
      <c r="F33" s="19" t="n">
        <v>388.730967521668</v>
      </c>
      <c r="G33" s="12" t="n">
        <f aca="false">E33/Combined_Summary!$B$23</f>
        <v>1429.12434460567</v>
      </c>
      <c r="H33" s="12" t="n">
        <f aca="false">F33/Combined_Summary!$B$23</f>
        <v>1554.92387008667</v>
      </c>
      <c r="I33" s="12" t="n">
        <f aca="false">H33-G33</f>
        <v>125.799525481004</v>
      </c>
      <c r="J33" s="13" t="n">
        <f aca="false">IF(G33=0,"",I33/G33)</f>
        <v>0.0880255983013958</v>
      </c>
    </row>
    <row r="34" customFormat="false" ht="15" hidden="false" customHeight="false" outlineLevel="0" collapsed="false">
      <c r="A34" s="3" t="n">
        <v>39415</v>
      </c>
      <c r="B34" s="3" t="n">
        <v>187680</v>
      </c>
      <c r="C34" s="18" t="n">
        <v>654</v>
      </c>
      <c r="D34" s="18" t="n">
        <v>654</v>
      </c>
      <c r="E34" s="19" t="n">
        <v>326.371554552597</v>
      </c>
      <c r="F34" s="19" t="n">
        <v>361.221516693769</v>
      </c>
      <c r="G34" s="12" t="n">
        <f aca="false">E34/Combined_Summary!$B$23</f>
        <v>1305.48621821039</v>
      </c>
      <c r="H34" s="12" t="n">
        <f aca="false">F34/Combined_Summary!$B$23</f>
        <v>1444.88606677507</v>
      </c>
      <c r="I34" s="12" t="n">
        <f aca="false">H34-G34</f>
        <v>139.399848564684</v>
      </c>
      <c r="J34" s="13" t="n">
        <f aca="false">IF(G34=0,"",I34/G34)</f>
        <v>0.106780023121025</v>
      </c>
    </row>
    <row r="35" customFormat="false" ht="15" hidden="false" customHeight="false" outlineLevel="0" collapsed="false">
      <c r="A35" s="3" t="n">
        <v>39426</v>
      </c>
      <c r="B35" s="3" t="n">
        <v>181018</v>
      </c>
      <c r="C35" s="18" t="n">
        <v>677</v>
      </c>
      <c r="D35" s="18" t="n">
        <v>677</v>
      </c>
      <c r="E35" s="19" t="n">
        <v>340.483919185937</v>
      </c>
      <c r="F35" s="19" t="n">
        <v>362.857441461245</v>
      </c>
      <c r="G35" s="12" t="n">
        <f aca="false">E35/Combined_Summary!$B$23</f>
        <v>1361.93567674375</v>
      </c>
      <c r="H35" s="12" t="n">
        <f aca="false">F35/Combined_Summary!$B$23</f>
        <v>1451.42976584498</v>
      </c>
      <c r="I35" s="12" t="n">
        <f aca="false">H35-G35</f>
        <v>89.4940891012307</v>
      </c>
      <c r="J35" s="13" t="n">
        <f aca="false">IF(G35=0,"",I35/G35)</f>
        <v>0.0657109514270175</v>
      </c>
    </row>
    <row r="36" customFormat="false" ht="15" hidden="false" customHeight="false" outlineLevel="0" collapsed="false">
      <c r="A36" s="3" t="n">
        <v>39443</v>
      </c>
      <c r="B36" s="3" t="n">
        <v>182478</v>
      </c>
      <c r="C36" s="18" t="n">
        <v>643</v>
      </c>
      <c r="D36" s="18" t="n">
        <v>643</v>
      </c>
      <c r="E36" s="19" t="n">
        <v>311.082119943195</v>
      </c>
      <c r="F36" s="19" t="n">
        <v>346.32618581674</v>
      </c>
      <c r="G36" s="12" t="n">
        <f aca="false">E36/Combined_Summary!$B$23</f>
        <v>1244.32847977278</v>
      </c>
      <c r="H36" s="12" t="n">
        <f aca="false">F36/Combined_Summary!$B$23</f>
        <v>1385.30474326696</v>
      </c>
      <c r="I36" s="12" t="n">
        <f aca="false">H36-G36</f>
        <v>140.97626349418</v>
      </c>
      <c r="J36" s="13" t="n">
        <f aca="false">IF(G36=0,"",I36/G36)</f>
        <v>0.113295054951988</v>
      </c>
    </row>
    <row r="37" customFormat="false" ht="15" hidden="false" customHeight="false" outlineLevel="0" collapsed="false">
      <c r="A37" s="3" t="n">
        <v>39444</v>
      </c>
      <c r="B37" s="3" t="n">
        <v>187779</v>
      </c>
      <c r="C37" s="18" t="n">
        <v>747</v>
      </c>
      <c r="D37" s="18" t="n">
        <v>747</v>
      </c>
      <c r="E37" s="19" t="n">
        <v>321.645821271332</v>
      </c>
      <c r="F37" s="19" t="n">
        <v>353.36632940249</v>
      </c>
      <c r="G37" s="12" t="n">
        <f aca="false">E37/Combined_Summary!$B$23</f>
        <v>1286.58328508533</v>
      </c>
      <c r="H37" s="12" t="n">
        <f aca="false">F37/Combined_Summary!$B$23</f>
        <v>1413.46531760996</v>
      </c>
      <c r="I37" s="12" t="n">
        <f aca="false">H37-G37</f>
        <v>126.88203252463</v>
      </c>
      <c r="J37" s="13" t="n">
        <f aca="false">IF(G37=0,"",I37/G37)</f>
        <v>0.0986193696090296</v>
      </c>
    </row>
    <row r="38" customFormat="false" ht="15" hidden="false" customHeight="false" outlineLevel="0" collapsed="false">
      <c r="A38" s="3" t="n">
        <v>39477</v>
      </c>
      <c r="B38" s="3" t="n">
        <v>182507</v>
      </c>
      <c r="C38" s="18" t="n">
        <v>812</v>
      </c>
      <c r="D38" s="18" t="n">
        <v>812</v>
      </c>
      <c r="E38" s="19" t="n">
        <v>352.221530820349</v>
      </c>
      <c r="F38" s="19" t="n">
        <v>377.866059627439</v>
      </c>
      <c r="G38" s="12" t="n">
        <f aca="false">E38/Combined_Summary!$B$23</f>
        <v>1408.88612328139</v>
      </c>
      <c r="H38" s="12" t="n">
        <f aca="false">F38/Combined_Summary!$B$23</f>
        <v>1511.46423850976</v>
      </c>
      <c r="I38" s="12" t="n">
        <f aca="false">H38-G38</f>
        <v>102.578115228361</v>
      </c>
      <c r="J38" s="13" t="n">
        <f aca="false">IF(G38=0,"",I38/G38)</f>
        <v>0.0728079534131898</v>
      </c>
    </row>
    <row r="39" customFormat="false" ht="15" hidden="false" customHeight="false" outlineLevel="0" collapsed="false">
      <c r="A39" s="3" t="n">
        <v>39478</v>
      </c>
      <c r="B39" s="3" t="n">
        <v>594073</v>
      </c>
      <c r="C39" s="18" t="n">
        <v>16</v>
      </c>
      <c r="D39" s="18" t="n">
        <v>16</v>
      </c>
      <c r="E39" s="19" t="n">
        <v>333.282503128052</v>
      </c>
      <c r="F39" s="19" t="n">
        <v>348.102792739868</v>
      </c>
      <c r="G39" s="12" t="n">
        <f aca="false">E39/Combined_Summary!$B$23</f>
        <v>1333.13001251221</v>
      </c>
      <c r="H39" s="12" t="n">
        <f aca="false">F39/Combined_Summary!$B$23</f>
        <v>1392.41117095947</v>
      </c>
      <c r="I39" s="12" t="n">
        <f aca="false">H39-G39</f>
        <v>59.2811584472656</v>
      </c>
      <c r="J39" s="13" t="n">
        <f aca="false">IF(G39=0,"",I39/G39)</f>
        <v>0.0444676497347424</v>
      </c>
    </row>
    <row r="40" customFormat="false" ht="15" hidden="false" customHeight="false" outlineLevel="0" collapsed="false">
      <c r="A40" s="3" t="n">
        <v>39479</v>
      </c>
      <c r="B40" s="3" t="n">
        <v>638454</v>
      </c>
      <c r="C40" s="18" t="n">
        <v>16</v>
      </c>
      <c r="D40" s="18" t="n">
        <v>16</v>
      </c>
      <c r="E40" s="19" t="n">
        <v>334.994956970215</v>
      </c>
      <c r="F40" s="19" t="n">
        <v>354.477264404297</v>
      </c>
      <c r="G40" s="12" t="n">
        <f aca="false">E40/Combined_Summary!$B$23</f>
        <v>1339.97982788086</v>
      </c>
      <c r="H40" s="12" t="n">
        <f aca="false">F40/Combined_Summary!$B$23</f>
        <v>1417.90905761719</v>
      </c>
      <c r="I40" s="12" t="n">
        <f aca="false">H40-G40</f>
        <v>77.9292297363284</v>
      </c>
      <c r="J40" s="13" t="n">
        <f aca="false">IF(G40=0,"",I40/G40)</f>
        <v>0.0581570170795565</v>
      </c>
    </row>
    <row r="41" customFormat="false" ht="15" hidden="false" customHeight="false" outlineLevel="0" collapsed="false">
      <c r="A41" s="3" t="n">
        <v>39480</v>
      </c>
      <c r="B41" s="3" t="n">
        <v>187784</v>
      </c>
      <c r="C41" s="18" t="n">
        <v>476</v>
      </c>
      <c r="D41" s="18" t="n">
        <v>476</v>
      </c>
      <c r="E41" s="19" t="n">
        <v>386.261435404545</v>
      </c>
      <c r="F41" s="19" t="n">
        <v>418.252695291984</v>
      </c>
      <c r="G41" s="12" t="n">
        <f aca="false">E41/Combined_Summary!$B$23</f>
        <v>1545.04574161818</v>
      </c>
      <c r="H41" s="12" t="n">
        <f aca="false">F41/Combined_Summary!$B$23</f>
        <v>1673.01078116794</v>
      </c>
      <c r="I41" s="12" t="n">
        <f aca="false">H41-G41</f>
        <v>127.965039549756</v>
      </c>
      <c r="J41" s="13" t="n">
        <f aca="false">IF(G41=0,"",I41/G41)</f>
        <v>0.0828228162460312</v>
      </c>
    </row>
    <row r="42" customFormat="false" ht="15" hidden="false" customHeight="false" outlineLevel="0" collapsed="false">
      <c r="A42" s="3" t="n">
        <v>39499</v>
      </c>
      <c r="B42" s="3" t="n">
        <v>180990</v>
      </c>
      <c r="C42" s="18" t="n">
        <v>623</v>
      </c>
      <c r="D42" s="18" t="n">
        <v>623</v>
      </c>
      <c r="E42" s="19" t="n">
        <v>336.610330817405</v>
      </c>
      <c r="F42" s="19" t="n">
        <v>361.115092661752</v>
      </c>
      <c r="G42" s="12" t="n">
        <f aca="false">E42/Combined_Summary!$B$23</f>
        <v>1346.44132326962</v>
      </c>
      <c r="H42" s="12" t="n">
        <f aca="false">F42/Combined_Summary!$B$23</f>
        <v>1444.46037064701</v>
      </c>
      <c r="I42" s="12" t="n">
        <f aca="false">H42-G42</f>
        <v>98.0190473773887</v>
      </c>
      <c r="J42" s="13" t="n">
        <f aca="false">IF(G42=0,"",I42/G42)</f>
        <v>0.0727986030162569</v>
      </c>
    </row>
    <row r="43" customFormat="false" ht="15" hidden="false" customHeight="false" outlineLevel="0" collapsed="false">
      <c r="A43" s="3" t="n">
        <v>39500</v>
      </c>
      <c r="B43" s="3" t="n">
        <v>182484</v>
      </c>
      <c r="C43" s="18" t="n">
        <v>814</v>
      </c>
      <c r="D43" s="18" t="n">
        <v>814</v>
      </c>
      <c r="E43" s="19" t="n">
        <v>341.796121723822</v>
      </c>
      <c r="F43" s="19" t="n">
        <v>372.734959220418</v>
      </c>
      <c r="G43" s="12" t="n">
        <f aca="false">E43/Combined_Summary!$B$23</f>
        <v>1367.18448689529</v>
      </c>
      <c r="H43" s="12" t="n">
        <f aca="false">F43/Combined_Summary!$B$23</f>
        <v>1490.93983688167</v>
      </c>
      <c r="I43" s="12" t="n">
        <f aca="false">H43-G43</f>
        <v>123.755349986383</v>
      </c>
      <c r="J43" s="13" t="n">
        <f aca="false">IF(G43=0,"",I43/G43)</f>
        <v>0.0905183983380449</v>
      </c>
    </row>
    <row r="44" customFormat="false" ht="15" hidden="false" customHeight="false" outlineLevel="0" collapsed="false">
      <c r="A44" s="3" t="n">
        <v>39501</v>
      </c>
      <c r="B44" s="3" t="n">
        <v>594072</v>
      </c>
      <c r="C44" s="18" t="n">
        <v>16</v>
      </c>
      <c r="D44" s="18" t="n">
        <v>16</v>
      </c>
      <c r="E44" s="19" t="n">
        <v>305.912746429443</v>
      </c>
      <c r="F44" s="19" t="n">
        <v>352.332750320435</v>
      </c>
      <c r="G44" s="12" t="n">
        <f aca="false">E44/Combined_Summary!$B$23</f>
        <v>1223.65098571777</v>
      </c>
      <c r="H44" s="12" t="n">
        <f aca="false">F44/Combined_Summary!$B$23</f>
        <v>1409.33100128174</v>
      </c>
      <c r="I44" s="12" t="n">
        <f aca="false">H44-G44</f>
        <v>185.680015563965</v>
      </c>
      <c r="J44" s="13" t="n">
        <f aca="false">IF(G44=0,"",I44/G44)</f>
        <v>0.151742627375933</v>
      </c>
    </row>
    <row r="45" customFormat="false" ht="15" hidden="false" customHeight="false" outlineLevel="0" collapsed="false">
      <c r="A45" s="3" t="n">
        <v>39517</v>
      </c>
      <c r="B45" s="3" t="n">
        <v>462866</v>
      </c>
      <c r="C45" s="18" t="n">
        <v>494</v>
      </c>
      <c r="D45" s="18" t="n">
        <v>494</v>
      </c>
      <c r="E45" s="19" t="n">
        <v>329.283519019</v>
      </c>
      <c r="F45" s="19" t="n">
        <v>368.784306993369</v>
      </c>
      <c r="G45" s="12" t="n">
        <f aca="false">E45/Combined_Summary!$B$23</f>
        <v>1317.134076076</v>
      </c>
      <c r="H45" s="12" t="n">
        <f aca="false">F45/Combined_Summary!$B$23</f>
        <v>1475.13722797347</v>
      </c>
      <c r="I45" s="12" t="n">
        <f aca="false">H45-G45</f>
        <v>158.003151897477</v>
      </c>
      <c r="J45" s="13" t="n">
        <f aca="false">IF(G45=0,"",I45/G45)</f>
        <v>0.119959808775276</v>
      </c>
    </row>
    <row r="46" customFormat="false" ht="15" hidden="false" customHeight="false" outlineLevel="0" collapsed="false">
      <c r="A46" s="3" t="n">
        <v>39530</v>
      </c>
      <c r="B46" s="3" t="n">
        <v>187770</v>
      </c>
      <c r="C46" s="18" t="n">
        <v>549</v>
      </c>
      <c r="D46" s="18" t="n">
        <v>549</v>
      </c>
      <c r="E46" s="19" t="n">
        <v>350.060446775676</v>
      </c>
      <c r="F46" s="19" t="n">
        <v>376.719757219047</v>
      </c>
      <c r="G46" s="12" t="n">
        <f aca="false">E46/Combined_Summary!$B$23</f>
        <v>1400.2417871027</v>
      </c>
      <c r="H46" s="12" t="n">
        <f aca="false">F46/Combined_Summary!$B$23</f>
        <v>1506.87902887619</v>
      </c>
      <c r="I46" s="12" t="n">
        <f aca="false">H46-G46</f>
        <v>106.637241773484</v>
      </c>
      <c r="J46" s="13" t="n">
        <f aca="false">IF(G46=0,"",I46/G46)</f>
        <v>0.076156305829246</v>
      </c>
    </row>
    <row r="47" customFormat="false" ht="15" hidden="false" customHeight="false" outlineLevel="0" collapsed="false">
      <c r="A47" s="3" t="n">
        <v>39531</v>
      </c>
      <c r="B47" s="3" t="n">
        <v>31248</v>
      </c>
      <c r="C47" s="18" t="n">
        <v>3914</v>
      </c>
      <c r="D47" s="18" t="n">
        <v>3914</v>
      </c>
      <c r="E47" s="19" t="n">
        <v>299.955193049334</v>
      </c>
      <c r="F47" s="19" t="n">
        <v>329.465575413614</v>
      </c>
      <c r="G47" s="12" t="n">
        <f aca="false">E47/Combined_Summary!$B$23</f>
        <v>1199.82077219734</v>
      </c>
      <c r="H47" s="12" t="n">
        <f aca="false">F47/Combined_Summary!$B$23</f>
        <v>1317.86230165445</v>
      </c>
      <c r="I47" s="12" t="n">
        <f aca="false">H47-G47</f>
        <v>118.04152945712</v>
      </c>
      <c r="J47" s="13" t="n">
        <f aca="false">IF(G47=0,"",I47/G47)</f>
        <v>0.0983826353005541</v>
      </c>
    </row>
    <row r="48" customFormat="false" ht="15" hidden="false" customHeight="false" outlineLevel="0" collapsed="false">
      <c r="A48" s="3" t="n">
        <v>39532</v>
      </c>
      <c r="B48" s="3" t="n">
        <v>187781</v>
      </c>
      <c r="C48" s="18" t="n">
        <v>652</v>
      </c>
      <c r="D48" s="18" t="n">
        <v>652</v>
      </c>
      <c r="E48" s="19" t="n">
        <v>338.544378655089</v>
      </c>
      <c r="F48" s="19" t="n">
        <v>372.857308931877</v>
      </c>
      <c r="G48" s="12" t="n">
        <f aca="false">E48/Combined_Summary!$B$23</f>
        <v>1354.17751462035</v>
      </c>
      <c r="H48" s="12" t="n">
        <f aca="false">F48/Combined_Summary!$B$23</f>
        <v>1491.42923572751</v>
      </c>
      <c r="I48" s="12" t="n">
        <f aca="false">H48-G48</f>
        <v>137.251721107155</v>
      </c>
      <c r="J48" s="13" t="n">
        <f aca="false">IF(G48=0,"",I48/G48)</f>
        <v>0.101354305196563</v>
      </c>
    </row>
    <row r="49" customFormat="false" ht="15" hidden="false" customHeight="false" outlineLevel="0" collapsed="false">
      <c r="A49" s="3" t="n">
        <v>39549</v>
      </c>
      <c r="B49" s="3" t="n">
        <v>180992</v>
      </c>
      <c r="C49" s="18" t="n">
        <v>713</v>
      </c>
      <c r="D49" s="18" t="n">
        <v>713</v>
      </c>
      <c r="E49" s="19" t="n">
        <v>322.370533369367</v>
      </c>
      <c r="F49" s="19" t="n">
        <v>353.915089557749</v>
      </c>
      <c r="G49" s="12" t="n">
        <f aca="false">E49/Combined_Summary!$B$23</f>
        <v>1289.48213347747</v>
      </c>
      <c r="H49" s="12" t="n">
        <f aca="false">F49/Combined_Summary!$B$23</f>
        <v>1415.660358231</v>
      </c>
      <c r="I49" s="12" t="n">
        <f aca="false">H49-G49</f>
        <v>126.178224753531</v>
      </c>
      <c r="J49" s="13" t="n">
        <f aca="false">IF(G49=0,"",I49/G49)</f>
        <v>0.0978518596556701</v>
      </c>
    </row>
    <row r="50" customFormat="false" ht="15" hidden="false" customHeight="false" outlineLevel="0" collapsed="false">
      <c r="A50" s="3" t="n">
        <v>39550</v>
      </c>
      <c r="B50" s="3" t="n">
        <v>182487</v>
      </c>
      <c r="C50" s="18" t="n">
        <v>445</v>
      </c>
      <c r="D50" s="18" t="n">
        <v>445</v>
      </c>
      <c r="E50" s="19" t="n">
        <v>316.83405718857</v>
      </c>
      <c r="F50" s="19" t="n">
        <v>348.634117315057</v>
      </c>
      <c r="G50" s="12" t="n">
        <f aca="false">E50/Combined_Summary!$B$23</f>
        <v>1267.33622875428</v>
      </c>
      <c r="H50" s="12" t="n">
        <f aca="false">F50/Combined_Summary!$B$23</f>
        <v>1394.53646926023</v>
      </c>
      <c r="I50" s="12" t="n">
        <f aca="false">H50-G50</f>
        <v>127.200240505947</v>
      </c>
      <c r="J50" s="13" t="n">
        <f aca="false">IF(G50=0,"",I50/G50)</f>
        <v>0.100368187715251</v>
      </c>
    </row>
    <row r="51" customFormat="false" ht="15" hidden="false" customHeight="false" outlineLevel="0" collapsed="false">
      <c r="A51" s="3" t="n">
        <v>39551</v>
      </c>
      <c r="B51" s="3" t="n">
        <v>182431</v>
      </c>
      <c r="C51" s="18" t="n">
        <v>840</v>
      </c>
      <c r="D51" s="18" t="n">
        <v>840</v>
      </c>
      <c r="E51" s="19" t="n">
        <v>295.755657477606</v>
      </c>
      <c r="F51" s="19" t="n">
        <v>338.893996956235</v>
      </c>
      <c r="G51" s="12" t="n">
        <f aca="false">E51/Combined_Summary!$B$23</f>
        <v>1183.02262991042</v>
      </c>
      <c r="H51" s="12" t="n">
        <f aca="false">F51/Combined_Summary!$B$23</f>
        <v>1355.57598782494</v>
      </c>
      <c r="I51" s="12" t="n">
        <f aca="false">H51-G51</f>
        <v>172.553357914516</v>
      </c>
      <c r="J51" s="13" t="n">
        <f aca="false">IF(G51=0,"",I51/G51)</f>
        <v>0.145858036483699</v>
      </c>
    </row>
    <row r="52" customFormat="false" ht="15" hidden="false" customHeight="false" outlineLevel="0" collapsed="false">
      <c r="A52" s="3" t="n">
        <v>39552</v>
      </c>
      <c r="B52" s="3" t="n">
        <v>635448</v>
      </c>
      <c r="C52" s="18" t="n">
        <v>16</v>
      </c>
      <c r="D52" s="18" t="n">
        <v>16</v>
      </c>
      <c r="E52" s="19" t="n">
        <v>313.773343086243</v>
      </c>
      <c r="F52" s="19" t="n">
        <v>354.963693618774</v>
      </c>
      <c r="G52" s="12" t="n">
        <f aca="false">E52/Combined_Summary!$B$23</f>
        <v>1255.09337234497</v>
      </c>
      <c r="H52" s="12" t="n">
        <f aca="false">F52/Combined_Summary!$B$23</f>
        <v>1419.8547744751</v>
      </c>
      <c r="I52" s="12" t="n">
        <f aca="false">H52-G52</f>
        <v>164.761402130127</v>
      </c>
      <c r="J52" s="13" t="n">
        <f aca="false">IF(G52=0,"",I52/G52)</f>
        <v>0.131274218923085</v>
      </c>
    </row>
    <row r="53" customFormat="false" ht="15" hidden="false" customHeight="false" outlineLevel="0" collapsed="false">
      <c r="A53" s="3" t="n">
        <v>39553</v>
      </c>
      <c r="B53" s="3" t="n">
        <v>61481</v>
      </c>
      <c r="C53" s="18" t="n">
        <v>1484</v>
      </c>
      <c r="D53" s="18" t="n">
        <v>1484</v>
      </c>
      <c r="E53" s="19" t="n">
        <v>318.07130218002</v>
      </c>
      <c r="F53" s="19" t="n">
        <v>346.604856943506</v>
      </c>
      <c r="G53" s="12" t="n">
        <f aca="false">E53/Combined_Summary!$B$23</f>
        <v>1272.28520872008</v>
      </c>
      <c r="H53" s="12" t="n">
        <f aca="false">F53/Combined_Summary!$B$23</f>
        <v>1386.41942777402</v>
      </c>
      <c r="I53" s="12" t="n">
        <f aca="false">H53-G53</f>
        <v>114.134219053942</v>
      </c>
      <c r="J53" s="13" t="n">
        <f aca="false">IF(G53=0,"",I53/G53)</f>
        <v>0.089708045233632</v>
      </c>
    </row>
    <row r="54" customFormat="false" ht="15" hidden="false" customHeight="false" outlineLevel="0" collapsed="false">
      <c r="A54" s="3" t="n">
        <v>39554</v>
      </c>
      <c r="B54" s="3" t="n">
        <v>187835</v>
      </c>
      <c r="C54" s="18" t="n">
        <v>1049</v>
      </c>
      <c r="D54" s="18" t="n">
        <v>1049</v>
      </c>
      <c r="E54" s="19" t="n">
        <v>286.573466025499</v>
      </c>
      <c r="F54" s="19" t="n">
        <v>319.077624892825</v>
      </c>
      <c r="G54" s="12" t="n">
        <f aca="false">E54/Combined_Summary!$B$23</f>
        <v>1146.293864102</v>
      </c>
      <c r="H54" s="12" t="n">
        <f aca="false">F54/Combined_Summary!$B$23</f>
        <v>1276.3104995713</v>
      </c>
      <c r="I54" s="12" t="n">
        <f aca="false">H54-G54</f>
        <v>130.016635469304</v>
      </c>
      <c r="J54" s="13" t="n">
        <f aca="false">IF(G54=0,"",I54/G54)</f>
        <v>0.113423476772388</v>
      </c>
    </row>
    <row r="55" customFormat="false" ht="15" hidden="false" customHeight="false" outlineLevel="0" collapsed="false">
      <c r="A55" s="3" t="n">
        <v>39555</v>
      </c>
      <c r="B55" s="3" t="n">
        <v>567586</v>
      </c>
      <c r="C55" s="18" t="n">
        <v>15</v>
      </c>
      <c r="D55" s="18" t="n">
        <v>15</v>
      </c>
      <c r="E55" s="19" t="n">
        <v>386.078763834635</v>
      </c>
      <c r="F55" s="19" t="n">
        <v>415.090057373047</v>
      </c>
      <c r="G55" s="12" t="n">
        <f aca="false">E55/Combined_Summary!$B$23</f>
        <v>1544.31505533854</v>
      </c>
      <c r="H55" s="12" t="n">
        <f aca="false">F55/Combined_Summary!$B$23</f>
        <v>1660.36022949219</v>
      </c>
      <c r="I55" s="12" t="n">
        <f aca="false">H55-G55</f>
        <v>116.045174153646</v>
      </c>
      <c r="J55" s="13" t="n">
        <f aca="false">IF(G55=0,"",I55/G55)</f>
        <v>0.0751434584235188</v>
      </c>
    </row>
    <row r="56" customFormat="false" ht="15" hidden="false" customHeight="false" outlineLevel="0" collapsed="false">
      <c r="A56" s="3" t="n">
        <v>39570</v>
      </c>
      <c r="B56" s="3" t="n">
        <v>182501</v>
      </c>
      <c r="C56" s="18" t="n">
        <v>854</v>
      </c>
      <c r="D56" s="18" t="n">
        <v>854</v>
      </c>
      <c r="E56" s="19" t="n">
        <v>347.430344061215</v>
      </c>
      <c r="F56" s="19" t="n">
        <v>376.280774904917</v>
      </c>
      <c r="G56" s="12" t="n">
        <f aca="false">E56/Combined_Summary!$B$23</f>
        <v>1389.72137624486</v>
      </c>
      <c r="H56" s="12" t="n">
        <f aca="false">F56/Combined_Summary!$B$23</f>
        <v>1505.12309961967</v>
      </c>
      <c r="I56" s="12" t="n">
        <f aca="false">H56-G56</f>
        <v>115.401723374807</v>
      </c>
      <c r="J56" s="13" t="n">
        <f aca="false">IF(G56=0,"",I56/G56)</f>
        <v>0.0830394677288707</v>
      </c>
    </row>
    <row r="57" customFormat="false" ht="15" hidden="false" customHeight="false" outlineLevel="0" collapsed="false">
      <c r="A57" s="3" t="n">
        <v>42195</v>
      </c>
      <c r="B57" s="3" t="n">
        <v>182273</v>
      </c>
      <c r="C57" s="18" t="n">
        <v>727</v>
      </c>
      <c r="D57" s="18" t="n">
        <v>727</v>
      </c>
      <c r="E57" s="19" t="n">
        <v>323.664492096829</v>
      </c>
      <c r="F57" s="19" t="n">
        <v>354.735809231723</v>
      </c>
      <c r="G57" s="12" t="n">
        <f aca="false">E57/Combined_Summary!$B$23</f>
        <v>1294.65796838732</v>
      </c>
      <c r="H57" s="12" t="n">
        <f aca="false">F57/Combined_Summary!$B$23</f>
        <v>1418.94323692689</v>
      </c>
      <c r="I57" s="12" t="n">
        <f aca="false">H57-G57</f>
        <v>124.285268539576</v>
      </c>
      <c r="J57" s="13" t="n">
        <f aca="false">IF(G57=0,"",I57/G57)</f>
        <v>0.0959985351918014</v>
      </c>
    </row>
    <row r="58" customFormat="false" ht="15" hidden="false" customHeight="false" outlineLevel="0" collapsed="false">
      <c r="A58" s="3" t="n">
        <v>42196</v>
      </c>
      <c r="B58" s="3" t="n">
        <v>187520</v>
      </c>
      <c r="C58" s="18" t="n">
        <v>398</v>
      </c>
      <c r="D58" s="18" t="n">
        <v>398</v>
      </c>
      <c r="E58" s="19" t="n">
        <v>351.639048590732</v>
      </c>
      <c r="F58" s="19" t="n">
        <v>378.860891485933</v>
      </c>
      <c r="G58" s="12" t="n">
        <f aca="false">E58/Combined_Summary!$B$23</f>
        <v>1406.55619436293</v>
      </c>
      <c r="H58" s="12" t="n">
        <f aca="false">F58/Combined_Summary!$B$23</f>
        <v>1515.44356594373</v>
      </c>
      <c r="I58" s="12" t="n">
        <f aca="false">H58-G58</f>
        <v>108.887371580804</v>
      </c>
      <c r="J58" s="13" t="n">
        <f aca="false">IF(G58=0,"",I58/G58)</f>
        <v>0.077414163769065</v>
      </c>
    </row>
    <row r="59" customFormat="false" ht="15" hidden="false" customHeight="false" outlineLevel="0" collapsed="false">
      <c r="A59" s="3" t="n">
        <v>42197</v>
      </c>
      <c r="B59" s="3" t="n">
        <v>643810</v>
      </c>
      <c r="C59" s="18" t="n">
        <v>16</v>
      </c>
      <c r="D59" s="18" t="n">
        <v>16</v>
      </c>
      <c r="E59" s="19" t="n">
        <v>292.142063140869</v>
      </c>
      <c r="F59" s="19" t="n">
        <v>314.613105773926</v>
      </c>
      <c r="G59" s="12" t="n">
        <f aca="false">E59/Combined_Summary!$B$23</f>
        <v>1168.56825256348</v>
      </c>
      <c r="H59" s="12" t="n">
        <f aca="false">F59/Combined_Summary!$B$23</f>
        <v>1258.4524230957</v>
      </c>
      <c r="I59" s="12" t="n">
        <f aca="false">H59-G59</f>
        <v>89.8841705322268</v>
      </c>
      <c r="J59" s="13" t="n">
        <f aca="false">IF(G59=0,"",I59/G59)</f>
        <v>0.0769182033955217</v>
      </c>
    </row>
    <row r="60" customFormat="false" ht="15" hidden="false" customHeight="false" outlineLevel="0" collapsed="false">
      <c r="A60" s="3" t="n">
        <v>42198</v>
      </c>
      <c r="B60" s="3" t="n">
        <v>187548</v>
      </c>
      <c r="C60" s="18" t="n">
        <v>394</v>
      </c>
      <c r="D60" s="18" t="n">
        <v>394</v>
      </c>
      <c r="E60" s="19" t="n">
        <v>360.483606503095</v>
      </c>
      <c r="F60" s="19" t="n">
        <v>386.645655907955</v>
      </c>
      <c r="G60" s="12" t="n">
        <f aca="false">E60/Combined_Summary!$B$23</f>
        <v>1441.93442601238</v>
      </c>
      <c r="H60" s="12" t="n">
        <f aca="false">F60/Combined_Summary!$B$23</f>
        <v>1546.58262363182</v>
      </c>
      <c r="I60" s="12" t="n">
        <f aca="false">H60-G60</f>
        <v>104.648197619443</v>
      </c>
      <c r="J60" s="13" t="n">
        <f aca="false">IF(G60=0,"",I60/G60)</f>
        <v>0.0725748659104033</v>
      </c>
    </row>
    <row r="61" customFormat="false" ht="15" hidden="false" customHeight="false" outlineLevel="0" collapsed="false">
      <c r="A61" s="3" t="n">
        <v>42199</v>
      </c>
      <c r="B61" s="3" t="n">
        <v>187616</v>
      </c>
      <c r="C61" s="18" t="n">
        <v>598</v>
      </c>
      <c r="D61" s="18" t="n">
        <v>598</v>
      </c>
      <c r="E61" s="19" t="n">
        <v>325.300592556446</v>
      </c>
      <c r="F61" s="19" t="n">
        <v>366.373973119219</v>
      </c>
      <c r="G61" s="12" t="n">
        <f aca="false">E61/Combined_Summary!$B$23</f>
        <v>1301.20237022579</v>
      </c>
      <c r="H61" s="12" t="n">
        <f aca="false">F61/Combined_Summary!$B$23</f>
        <v>1465.49589247688</v>
      </c>
      <c r="I61" s="12" t="n">
        <f aca="false">H61-G61</f>
        <v>164.293522251091</v>
      </c>
      <c r="J61" s="13" t="n">
        <f aca="false">IF(G61=0,"",I61/G61)</f>
        <v>0.126262851967125</v>
      </c>
    </row>
    <row r="62" customFormat="false" ht="15" hidden="false" customHeight="false" outlineLevel="0" collapsed="false">
      <c r="A62" s="3" t="n">
        <v>42213</v>
      </c>
      <c r="B62" s="3" t="n">
        <v>182526</v>
      </c>
      <c r="C62" s="18" t="n">
        <v>664</v>
      </c>
      <c r="D62" s="18" t="n">
        <v>664</v>
      </c>
      <c r="E62" s="19" t="n">
        <v>377.338889547141</v>
      </c>
      <c r="F62" s="19" t="n">
        <v>405.253699555455</v>
      </c>
      <c r="G62" s="12" t="n">
        <f aca="false">E62/Combined_Summary!$B$23</f>
        <v>1509.35555818856</v>
      </c>
      <c r="H62" s="12" t="n">
        <f aca="false">F62/Combined_Summary!$B$23</f>
        <v>1621.01479822182</v>
      </c>
      <c r="I62" s="12" t="n">
        <f aca="false">H62-G62</f>
        <v>111.659240033253</v>
      </c>
      <c r="J62" s="13" t="n">
        <f aca="false">IF(G62=0,"",I62/G62)</f>
        <v>0.0739780891437268</v>
      </c>
    </row>
    <row r="63" customFormat="false" ht="15" hidden="false" customHeight="false" outlineLevel="0" collapsed="false">
      <c r="A63" s="3" t="n">
        <v>42214</v>
      </c>
      <c r="B63" s="3" t="n">
        <v>187553</v>
      </c>
      <c r="C63" s="18" t="n">
        <v>487</v>
      </c>
      <c r="D63" s="18" t="n">
        <v>487</v>
      </c>
      <c r="E63" s="19" t="n">
        <v>353.020944160602</v>
      </c>
      <c r="F63" s="19" t="n">
        <v>383.619225817295</v>
      </c>
      <c r="G63" s="12" t="n">
        <f aca="false">E63/Combined_Summary!$B$23</f>
        <v>1412.08377664241</v>
      </c>
      <c r="H63" s="12" t="n">
        <f aca="false">F63/Combined_Summary!$B$23</f>
        <v>1534.47690326918</v>
      </c>
      <c r="I63" s="12" t="n">
        <f aca="false">H63-G63</f>
        <v>122.393126626769</v>
      </c>
      <c r="J63" s="13" t="n">
        <f aca="false">IF(G63=0,"",I63/G63)</f>
        <v>0.0866755419553007</v>
      </c>
    </row>
    <row r="64" customFormat="false" ht="15" hidden="false" customHeight="false" outlineLevel="0" collapsed="false">
      <c r="A64" s="3" t="n">
        <v>42215</v>
      </c>
      <c r="B64" s="3" t="n">
        <v>187611</v>
      </c>
      <c r="C64" s="18" t="n">
        <v>658</v>
      </c>
      <c r="D64" s="18" t="n">
        <v>658</v>
      </c>
      <c r="E64" s="19" t="n">
        <v>359.321706128338</v>
      </c>
      <c r="F64" s="19" t="n">
        <v>388.030224275444</v>
      </c>
      <c r="G64" s="12" t="n">
        <f aca="false">E64/Combined_Summary!$B$23</f>
        <v>1437.28682451335</v>
      </c>
      <c r="H64" s="12" t="n">
        <f aca="false">F64/Combined_Summary!$B$23</f>
        <v>1552.12089710178</v>
      </c>
      <c r="I64" s="12" t="n">
        <f aca="false">H64-G64</f>
        <v>114.834072588425</v>
      </c>
      <c r="J64" s="13" t="n">
        <f aca="false">IF(G64=0,"",I64/G64)</f>
        <v>0.0798964205542665</v>
      </c>
    </row>
    <row r="65" customFormat="false" ht="15" hidden="false" customHeight="false" outlineLevel="0" collapsed="false">
      <c r="A65" s="3" t="n">
        <v>42225</v>
      </c>
      <c r="B65" s="3" t="n">
        <v>182275</v>
      </c>
      <c r="C65" s="18" t="n">
        <v>598</v>
      </c>
      <c r="D65" s="18" t="n">
        <v>598</v>
      </c>
      <c r="E65" s="19" t="n">
        <v>280.839089001302</v>
      </c>
      <c r="F65" s="19" t="n">
        <v>326.148660883058</v>
      </c>
      <c r="G65" s="12" t="n">
        <f aca="false">E65/Combined_Summary!$B$23</f>
        <v>1123.35635600521</v>
      </c>
      <c r="H65" s="12" t="n">
        <f aca="false">F65/Combined_Summary!$B$23</f>
        <v>1304.59464353223</v>
      </c>
      <c r="I65" s="12" t="n">
        <f aca="false">H65-G65</f>
        <v>181.238287527027</v>
      </c>
      <c r="J65" s="13" t="n">
        <f aca="false">IF(G65=0,"",I65/G65)</f>
        <v>0.161336415250752</v>
      </c>
    </row>
    <row r="66" customFormat="false" ht="15" hidden="false" customHeight="false" outlineLevel="0" collapsed="false">
      <c r="A66" s="3" t="n">
        <v>42226</v>
      </c>
      <c r="B66" s="3" t="n">
        <v>187492</v>
      </c>
      <c r="C66" s="18" t="n">
        <v>524</v>
      </c>
      <c r="D66" s="18" t="n">
        <v>524</v>
      </c>
      <c r="E66" s="19" t="n">
        <v>348.389007233481</v>
      </c>
      <c r="F66" s="19" t="n">
        <v>378.662469004857</v>
      </c>
      <c r="G66" s="12" t="n">
        <f aca="false">E66/Combined_Summary!$B$23</f>
        <v>1393.55602893393</v>
      </c>
      <c r="H66" s="12" t="n">
        <f aca="false">F66/Combined_Summary!$B$23</f>
        <v>1514.64987601943</v>
      </c>
      <c r="I66" s="12" t="n">
        <f aca="false">H66-G66</f>
        <v>121.093847085501</v>
      </c>
      <c r="J66" s="13" t="n">
        <f aca="false">IF(G66=0,"",I66/G66)</f>
        <v>0.0868955711656161</v>
      </c>
    </row>
    <row r="67" customFormat="false" ht="15" hidden="false" customHeight="false" outlineLevel="0" collapsed="false">
      <c r="A67" s="3" t="n">
        <v>42227</v>
      </c>
      <c r="B67" s="3" t="n">
        <v>187523</v>
      </c>
      <c r="C67" s="18" t="n">
        <v>673</v>
      </c>
      <c r="D67" s="18" t="n">
        <v>673</v>
      </c>
      <c r="E67" s="19" t="n">
        <v>351.36846537257</v>
      </c>
      <c r="F67" s="19" t="n">
        <v>378.173764006344</v>
      </c>
      <c r="G67" s="12" t="n">
        <f aca="false">E67/Combined_Summary!$B$23</f>
        <v>1405.47386149028</v>
      </c>
      <c r="H67" s="12" t="n">
        <f aca="false">F67/Combined_Summary!$B$23</f>
        <v>1512.69505602538</v>
      </c>
      <c r="I67" s="12" t="n">
        <f aca="false">H67-G67</f>
        <v>107.221194535095</v>
      </c>
      <c r="J67" s="13" t="n">
        <f aca="false">IF(G67=0,"",I67/G67)</f>
        <v>0.0762882878671285</v>
      </c>
    </row>
    <row r="68" customFormat="false" ht="15" hidden="false" customHeight="false" outlineLevel="0" collapsed="false">
      <c r="A68" s="3" t="n">
        <v>42228</v>
      </c>
      <c r="B68" s="3" t="n">
        <v>187525</v>
      </c>
      <c r="C68" s="18" t="n">
        <v>395</v>
      </c>
      <c r="D68" s="18" t="n">
        <v>395</v>
      </c>
      <c r="E68" s="19" t="n">
        <v>351.179821661454</v>
      </c>
      <c r="F68" s="19" t="n">
        <v>380.90719913531</v>
      </c>
      <c r="G68" s="12" t="n">
        <f aca="false">E68/Combined_Summary!$B$23</f>
        <v>1404.71928664582</v>
      </c>
      <c r="H68" s="12" t="n">
        <f aca="false">F68/Combined_Summary!$B$23</f>
        <v>1523.62879654124</v>
      </c>
      <c r="I68" s="12" t="n">
        <f aca="false">H68-G68</f>
        <v>118.909509895422</v>
      </c>
      <c r="J68" s="13" t="n">
        <f aca="false">IF(G68=0,"",I68/G68)</f>
        <v>0.0846500158614277</v>
      </c>
    </row>
    <row r="69" customFormat="false" ht="15" hidden="false" customHeight="false" outlineLevel="0" collapsed="false">
      <c r="A69" s="3" t="n">
        <v>42250</v>
      </c>
      <c r="B69" s="3" t="n">
        <v>182139</v>
      </c>
      <c r="C69" s="18" t="n">
        <v>434</v>
      </c>
      <c r="D69" s="18" t="n">
        <v>434</v>
      </c>
      <c r="E69" s="19" t="n">
        <v>353.953938725907</v>
      </c>
      <c r="F69" s="19" t="n">
        <v>383.262534884264</v>
      </c>
      <c r="G69" s="12" t="n">
        <f aca="false">E69/Combined_Summary!$B$23</f>
        <v>1415.81575490363</v>
      </c>
      <c r="H69" s="12" t="n">
        <f aca="false">F69/Combined_Summary!$B$23</f>
        <v>1533.05013953706</v>
      </c>
      <c r="I69" s="12" t="n">
        <f aca="false">H69-G69</f>
        <v>117.234384633429</v>
      </c>
      <c r="J69" s="13" t="n">
        <f aca="false">IF(G69=0,"",I69/G69)</f>
        <v>0.0828034186138926</v>
      </c>
    </row>
    <row r="70" customFormat="false" ht="15" hidden="false" customHeight="false" outlineLevel="0" collapsed="false">
      <c r="A70" s="3" t="n">
        <v>42251</v>
      </c>
      <c r="B70" s="3" t="n">
        <v>182523</v>
      </c>
      <c r="C70" s="18" t="n">
        <v>384</v>
      </c>
      <c r="D70" s="18" t="n">
        <v>384</v>
      </c>
      <c r="E70" s="19" t="n">
        <v>346.183671255906</v>
      </c>
      <c r="F70" s="19" t="n">
        <v>370.614146987597</v>
      </c>
      <c r="G70" s="12" t="n">
        <f aca="false">E70/Combined_Summary!$B$23</f>
        <v>1384.73468502363</v>
      </c>
      <c r="H70" s="12" t="n">
        <f aca="false">F70/Combined_Summary!$B$23</f>
        <v>1482.45658795039</v>
      </c>
      <c r="I70" s="12" t="n">
        <f aca="false">H70-G70</f>
        <v>97.7219029267633</v>
      </c>
      <c r="J70" s="13" t="n">
        <f aca="false">IF(G70=0,"",I70/G70)</f>
        <v>0.0705708494079471</v>
      </c>
    </row>
    <row r="71" customFormat="false" ht="15" hidden="false" customHeight="false" outlineLevel="0" collapsed="false">
      <c r="A71" s="3" t="n">
        <v>42252</v>
      </c>
      <c r="B71" s="3" t="n">
        <v>187564</v>
      </c>
      <c r="C71" s="18" t="n">
        <v>396</v>
      </c>
      <c r="D71" s="18" t="n">
        <v>396</v>
      </c>
      <c r="E71" s="19" t="n">
        <v>316.352438608805</v>
      </c>
      <c r="F71" s="19" t="n">
        <v>351.418423084298</v>
      </c>
      <c r="G71" s="12" t="n">
        <f aca="false">E71/Combined_Summary!$B$23</f>
        <v>1265.40975443522</v>
      </c>
      <c r="H71" s="12" t="n">
        <f aca="false">F71/Combined_Summary!$B$23</f>
        <v>1405.67369233719</v>
      </c>
      <c r="I71" s="12" t="n">
        <f aca="false">H71-G71</f>
        <v>140.263937901969</v>
      </c>
      <c r="J71" s="13" t="n">
        <f aca="false">IF(G71=0,"",I71/G71)</f>
        <v>0.110844678895787</v>
      </c>
    </row>
    <row r="72" customFormat="false" ht="15" hidden="false" customHeight="false" outlineLevel="0" collapsed="false">
      <c r="A72" s="3" t="n">
        <v>42253</v>
      </c>
      <c r="B72" s="3" t="n">
        <v>187565</v>
      </c>
      <c r="C72" s="18" t="n">
        <v>308</v>
      </c>
      <c r="D72" s="18" t="n">
        <v>308</v>
      </c>
      <c r="E72" s="19" t="n">
        <v>325.1482380706</v>
      </c>
      <c r="F72" s="19" t="n">
        <v>360.339740010051</v>
      </c>
      <c r="G72" s="12" t="n">
        <f aca="false">E72/Combined_Summary!$B$23</f>
        <v>1300.5929522824</v>
      </c>
      <c r="H72" s="12" t="n">
        <f aca="false">F72/Combined_Summary!$B$23</f>
        <v>1441.3589600402</v>
      </c>
      <c r="I72" s="12" t="n">
        <f aca="false">H72-G72</f>
        <v>140.766007757806</v>
      </c>
      <c r="J72" s="13" t="n">
        <f aca="false">IF(G72=0,"",I72/G72)</f>
        <v>0.108232177877619</v>
      </c>
    </row>
    <row r="73" customFormat="false" ht="15" hidden="false" customHeight="false" outlineLevel="0" collapsed="false">
      <c r="A73" s="3" t="n">
        <v>42254</v>
      </c>
      <c r="B73" s="3" t="n">
        <v>187608</v>
      </c>
      <c r="C73" s="18" t="n">
        <v>530</v>
      </c>
      <c r="D73" s="18" t="n">
        <v>530</v>
      </c>
      <c r="E73" s="19" t="n">
        <v>349.900302354345</v>
      </c>
      <c r="F73" s="19" t="n">
        <v>384.014851465765</v>
      </c>
      <c r="G73" s="12" t="n">
        <f aca="false">E73/Combined_Summary!$B$23</f>
        <v>1399.60120941738</v>
      </c>
      <c r="H73" s="12" t="n">
        <f aca="false">F73/Combined_Summary!$B$23</f>
        <v>1536.05940586306</v>
      </c>
      <c r="I73" s="12" t="n">
        <f aca="false">H73-G73</f>
        <v>136.458196445681</v>
      </c>
      <c r="J73" s="13" t="n">
        <f aca="false">IF(G73=0,"",I73/G73)</f>
        <v>0.0974979126393333</v>
      </c>
    </row>
    <row r="74" customFormat="false" ht="15" hidden="false" customHeight="false" outlineLevel="0" collapsed="false">
      <c r="A74" s="3" t="n">
        <v>42255</v>
      </c>
      <c r="B74" s="3" t="n">
        <v>187609</v>
      </c>
      <c r="C74" s="18" t="n">
        <v>151</v>
      </c>
      <c r="D74" s="18" t="n">
        <v>151</v>
      </c>
      <c r="E74" s="19" t="n">
        <v>312.035862246886</v>
      </c>
      <c r="F74" s="19" t="n">
        <v>342.235356615079</v>
      </c>
      <c r="G74" s="12" t="n">
        <f aca="false">E74/Combined_Summary!$B$23</f>
        <v>1248.14344898754</v>
      </c>
      <c r="H74" s="12" t="n">
        <f aca="false">F74/Combined_Summary!$B$23</f>
        <v>1368.94142646032</v>
      </c>
      <c r="I74" s="12" t="n">
        <f aca="false">H74-G74</f>
        <v>120.797977472773</v>
      </c>
      <c r="J74" s="13" t="n">
        <f aca="false">IF(G74=0,"",I74/G74)</f>
        <v>0.0967821267425314</v>
      </c>
    </row>
    <row r="75" customFormat="false" ht="15" hidden="false" customHeight="false" outlineLevel="0" collapsed="false">
      <c r="A75" s="3" t="n">
        <v>42281</v>
      </c>
      <c r="B75" s="3" t="n">
        <v>633728</v>
      </c>
      <c r="C75" s="18" t="n">
        <v>16</v>
      </c>
      <c r="D75" s="18" t="n">
        <v>16</v>
      </c>
      <c r="E75" s="19" t="n">
        <v>336.78533744812</v>
      </c>
      <c r="F75" s="19" t="n">
        <v>350.010061264038</v>
      </c>
      <c r="G75" s="12" t="n">
        <f aca="false">E75/Combined_Summary!$B$23</f>
        <v>1347.14134979248</v>
      </c>
      <c r="H75" s="12" t="n">
        <f aca="false">F75/Combined_Summary!$B$23</f>
        <v>1400.04024505615</v>
      </c>
      <c r="I75" s="12" t="n">
        <f aca="false">H75-G75</f>
        <v>52.8988952636719</v>
      </c>
      <c r="J75" s="13" t="n">
        <f aca="false">IF(G75=0,"",I75/G75)</f>
        <v>0.0392675165615105</v>
      </c>
    </row>
    <row r="76" customFormat="false" ht="15" hidden="false" customHeight="false" outlineLevel="0" collapsed="false">
      <c r="A76" s="3" t="n">
        <v>42282</v>
      </c>
      <c r="B76" s="3" t="n">
        <v>633727</v>
      </c>
      <c r="C76" s="18" t="n">
        <v>16</v>
      </c>
      <c r="D76" s="18" t="n">
        <v>16</v>
      </c>
      <c r="E76" s="19" t="n">
        <v>362.29988861084</v>
      </c>
      <c r="F76" s="19" t="n">
        <v>386.529956817627</v>
      </c>
      <c r="G76" s="12" t="n">
        <f aca="false">E76/Combined_Summary!$B$23</f>
        <v>1449.19955444336</v>
      </c>
      <c r="H76" s="12" t="n">
        <f aca="false">F76/Combined_Summary!$B$23</f>
        <v>1546.11982727051</v>
      </c>
      <c r="I76" s="12" t="n">
        <f aca="false">H76-G76</f>
        <v>96.9202728271489</v>
      </c>
      <c r="J76" s="13" t="n">
        <f aca="false">IF(G76=0,"",I76/G76)</f>
        <v>0.0668784864927565</v>
      </c>
    </row>
    <row r="77" customFormat="false" ht="15" hidden="false" customHeight="false" outlineLevel="0" collapsed="false">
      <c r="A77" s="3" t="n">
        <v>42283</v>
      </c>
      <c r="B77" s="3" t="n">
        <v>182519</v>
      </c>
      <c r="C77" s="18" t="n">
        <v>574</v>
      </c>
      <c r="D77" s="18" t="n">
        <v>574</v>
      </c>
      <c r="E77" s="19" t="n">
        <v>333.429074343904</v>
      </c>
      <c r="F77" s="19" t="n">
        <v>359.215026496595</v>
      </c>
      <c r="G77" s="12" t="n">
        <f aca="false">E77/Combined_Summary!$B$23</f>
        <v>1333.71629737562</v>
      </c>
      <c r="H77" s="12" t="n">
        <f aca="false">F77/Combined_Summary!$B$23</f>
        <v>1436.86010598638</v>
      </c>
      <c r="I77" s="12" t="n">
        <f aca="false">H77-G77</f>
        <v>103.143808610764</v>
      </c>
      <c r="J77" s="13" t="n">
        <f aca="false">IF(G77=0,"",I77/G77)</f>
        <v>0.0773356438799782</v>
      </c>
    </row>
    <row r="78" customFormat="false" ht="15" hidden="false" customHeight="false" outlineLevel="0" collapsed="false">
      <c r="A78" s="3" t="n">
        <v>42284</v>
      </c>
      <c r="B78" s="3" t="n">
        <v>187422</v>
      </c>
      <c r="C78" s="18" t="n">
        <v>445</v>
      </c>
      <c r="D78" s="18" t="n">
        <v>445</v>
      </c>
      <c r="E78" s="19" t="n">
        <v>384.417882374967</v>
      </c>
      <c r="F78" s="19" t="n">
        <v>405.71436362963</v>
      </c>
      <c r="G78" s="12" t="n">
        <f aca="false">E78/Combined_Summary!$B$23</f>
        <v>1537.67152949987</v>
      </c>
      <c r="H78" s="12" t="n">
        <f aca="false">F78/Combined_Summary!$B$23</f>
        <v>1622.85745451852</v>
      </c>
      <c r="I78" s="12" t="n">
        <f aca="false">H78-G78</f>
        <v>85.1859250186531</v>
      </c>
      <c r="J78" s="13" t="n">
        <f aca="false">IF(G78=0,"",I78/G78)</f>
        <v>0.0553992991249308</v>
      </c>
    </row>
    <row r="79" customFormat="false" ht="15" hidden="false" customHeight="false" outlineLevel="0" collapsed="false">
      <c r="A79" s="3" t="n">
        <v>42285</v>
      </c>
      <c r="B79" s="3" t="n">
        <v>187428</v>
      </c>
      <c r="C79" s="18" t="n">
        <v>289</v>
      </c>
      <c r="D79" s="18" t="n">
        <v>289</v>
      </c>
      <c r="E79" s="19" t="n">
        <v>298.963551913991</v>
      </c>
      <c r="F79" s="19" t="n">
        <v>325.678310064296</v>
      </c>
      <c r="G79" s="12" t="n">
        <f aca="false">E79/Combined_Summary!$B$23</f>
        <v>1195.85420765596</v>
      </c>
      <c r="H79" s="12" t="n">
        <f aca="false">F79/Combined_Summary!$B$23</f>
        <v>1302.71324025718</v>
      </c>
      <c r="I79" s="12" t="n">
        <f aca="false">H79-G79</f>
        <v>106.859032601221</v>
      </c>
      <c r="J79" s="13" t="n">
        <f aca="false">IF(G79=0,"",I79/G79)</f>
        <v>0.089357909950143</v>
      </c>
    </row>
    <row r="80" customFormat="false" ht="15" hidden="false" customHeight="false" outlineLevel="0" collapsed="false">
      <c r="A80" s="3" t="n">
        <v>42286</v>
      </c>
      <c r="B80" s="3" t="n">
        <v>31221</v>
      </c>
      <c r="C80" s="18" t="n">
        <v>812</v>
      </c>
      <c r="D80" s="18" t="n">
        <v>812</v>
      </c>
      <c r="E80" s="19" t="n">
        <v>307.308376194808</v>
      </c>
      <c r="F80" s="19" t="n">
        <v>342.705126729505</v>
      </c>
      <c r="G80" s="12" t="n">
        <f aca="false">E80/Combined_Summary!$B$23</f>
        <v>1229.23350477923</v>
      </c>
      <c r="H80" s="12" t="n">
        <f aca="false">F80/Combined_Summary!$B$23</f>
        <v>1370.82050691802</v>
      </c>
      <c r="I80" s="12" t="n">
        <f aca="false">H80-G80</f>
        <v>141.587002138786</v>
      </c>
      <c r="J80" s="13" t="n">
        <f aca="false">IF(G80=0,"",I80/G80)</f>
        <v>0.115183162180577</v>
      </c>
    </row>
    <row r="81" customFormat="false" ht="15" hidden="false" customHeight="false" outlineLevel="0" collapsed="false">
      <c r="A81" s="3" t="n">
        <v>42299</v>
      </c>
      <c r="B81" s="3" t="n">
        <v>180967</v>
      </c>
      <c r="C81" s="18" t="n">
        <v>723</v>
      </c>
      <c r="D81" s="18" t="n">
        <v>723</v>
      </c>
      <c r="E81" s="19" t="n">
        <v>348.032491702427</v>
      </c>
      <c r="F81" s="19" t="n">
        <v>374.575230641978</v>
      </c>
      <c r="G81" s="12" t="n">
        <f aca="false">E81/Combined_Summary!$B$23</f>
        <v>1392.12996680971</v>
      </c>
      <c r="H81" s="12" t="n">
        <f aca="false">F81/Combined_Summary!$B$23</f>
        <v>1498.30092256791</v>
      </c>
      <c r="I81" s="12" t="n">
        <f aca="false">H81-G81</f>
        <v>106.170955758207</v>
      </c>
      <c r="J81" s="13" t="n">
        <f aca="false">IF(G81=0,"",I81/G81)</f>
        <v>0.0762651176897765</v>
      </c>
    </row>
    <row r="82" customFormat="false" ht="15" hidden="false" customHeight="false" outlineLevel="0" collapsed="false">
      <c r="A82" s="3" t="n">
        <v>42300</v>
      </c>
      <c r="B82" s="3" t="n">
        <v>182514</v>
      </c>
      <c r="C82" s="18" t="n">
        <v>724</v>
      </c>
      <c r="D82" s="18" t="n">
        <v>724</v>
      </c>
      <c r="E82" s="19" t="n">
        <v>352.79729032253</v>
      </c>
      <c r="F82" s="19" t="n">
        <v>380.915442724913</v>
      </c>
      <c r="G82" s="12" t="n">
        <f aca="false">E82/Combined_Summary!$B$23</f>
        <v>1411.18916129012</v>
      </c>
      <c r="H82" s="12" t="n">
        <f aca="false">F82/Combined_Summary!$B$23</f>
        <v>1523.66177089965</v>
      </c>
      <c r="I82" s="12" t="n">
        <f aca="false">H82-G82</f>
        <v>112.472609609531</v>
      </c>
      <c r="J82" s="13" t="n">
        <f aca="false">IF(G82=0,"",I82/G82)</f>
        <v>0.0797005906045276</v>
      </c>
    </row>
    <row r="83" customFormat="false" ht="15" hidden="false" customHeight="false" outlineLevel="0" collapsed="false">
      <c r="A83" s="3" t="n">
        <v>42301</v>
      </c>
      <c r="B83" s="3" t="n">
        <v>187437</v>
      </c>
      <c r="C83" s="18" t="n">
        <v>533</v>
      </c>
      <c r="D83" s="18" t="n">
        <v>533</v>
      </c>
      <c r="E83" s="19" t="n">
        <v>359.543221622202</v>
      </c>
      <c r="F83" s="19" t="n">
        <v>388.501092477766</v>
      </c>
      <c r="G83" s="12" t="n">
        <f aca="false">E83/Combined_Summary!$B$23</f>
        <v>1438.17288648881</v>
      </c>
      <c r="H83" s="12" t="n">
        <f aca="false">F83/Combined_Summary!$B$23</f>
        <v>1554.00436991106</v>
      </c>
      <c r="I83" s="12" t="n">
        <f aca="false">H83-G83</f>
        <v>115.831483422256</v>
      </c>
      <c r="J83" s="13" t="n">
        <f aca="false">IF(G83=0,"",I83/G83)</f>
        <v>0.0805407225448741</v>
      </c>
    </row>
    <row r="84" customFormat="false" ht="15" hidden="false" customHeight="false" outlineLevel="0" collapsed="false">
      <c r="A84" s="3" t="n">
        <v>42302</v>
      </c>
      <c r="B84" s="3" t="n">
        <v>188669</v>
      </c>
      <c r="C84" s="18" t="n">
        <v>475</v>
      </c>
      <c r="D84" s="18" t="n">
        <v>475</v>
      </c>
      <c r="E84" s="19" t="n">
        <v>366.34429764597</v>
      </c>
      <c r="F84" s="19" t="n">
        <v>403.169270983244</v>
      </c>
      <c r="G84" s="12" t="n">
        <f aca="false">E84/Combined_Summary!$B$23</f>
        <v>1465.37719058388</v>
      </c>
      <c r="H84" s="12" t="n">
        <f aca="false">F84/Combined_Summary!$B$23</f>
        <v>1612.67708393298</v>
      </c>
      <c r="I84" s="12" t="n">
        <f aca="false">H84-G84</f>
        <v>147.299893349095</v>
      </c>
      <c r="J84" s="13" t="n">
        <f aca="false">IF(G84=0,"",I84/G84)</f>
        <v>0.100520121573889</v>
      </c>
    </row>
    <row r="85" customFormat="false" ht="15" hidden="false" customHeight="false" outlineLevel="0" collapsed="false">
      <c r="A85" s="3" t="n">
        <v>42303</v>
      </c>
      <c r="B85" s="3" t="n">
        <v>187719</v>
      </c>
      <c r="C85" s="18" t="n">
        <v>556</v>
      </c>
      <c r="D85" s="18" t="n">
        <v>556</v>
      </c>
      <c r="E85" s="19" t="n">
        <v>355.564215296464</v>
      </c>
      <c r="F85" s="19" t="n">
        <v>393.726859744504</v>
      </c>
      <c r="G85" s="12" t="n">
        <f aca="false">E85/Combined_Summary!$B$23</f>
        <v>1422.25686118586</v>
      </c>
      <c r="H85" s="12" t="n">
        <f aca="false">F85/Combined_Summary!$B$23</f>
        <v>1574.90743897802</v>
      </c>
      <c r="I85" s="12" t="n">
        <f aca="false">H85-G85</f>
        <v>152.650577792161</v>
      </c>
      <c r="J85" s="13" t="n">
        <f aca="false">IF(G85=0,"",I85/G85)</f>
        <v>0.107329823436312</v>
      </c>
    </row>
    <row r="86" customFormat="false" ht="15" hidden="false" customHeight="false" outlineLevel="0" collapsed="false">
      <c r="A86" s="3" t="n">
        <v>42318</v>
      </c>
      <c r="B86" s="3" t="n">
        <v>180958</v>
      </c>
      <c r="C86" s="18" t="n">
        <v>526</v>
      </c>
      <c r="D86" s="18" t="n">
        <v>526</v>
      </c>
      <c r="E86" s="19" t="n">
        <v>352.97556487689</v>
      </c>
      <c r="F86" s="19" t="n">
        <v>377.906405546819</v>
      </c>
      <c r="G86" s="12" t="n">
        <f aca="false">E86/Combined_Summary!$B$23</f>
        <v>1411.90225950756</v>
      </c>
      <c r="H86" s="12" t="n">
        <f aca="false">F86/Combined_Summary!$B$23</f>
        <v>1511.62562218728</v>
      </c>
      <c r="I86" s="12" t="n">
        <f aca="false">H86-G86</f>
        <v>99.7233626797172</v>
      </c>
      <c r="J86" s="13" t="n">
        <f aca="false">IF(G86=0,"",I86/G86)</f>
        <v>0.0706305000988514</v>
      </c>
    </row>
    <row r="87" customFormat="false" ht="15" hidden="false" customHeight="false" outlineLevel="0" collapsed="false">
      <c r="A87" s="3" t="n">
        <v>42319</v>
      </c>
      <c r="B87" s="3" t="n">
        <v>635440</v>
      </c>
      <c r="C87" s="18" t="n">
        <v>16</v>
      </c>
      <c r="D87" s="18" t="n">
        <v>16</v>
      </c>
      <c r="E87" s="19" t="n">
        <v>308.785858154297</v>
      </c>
      <c r="F87" s="19" t="n">
        <v>346.46483039856</v>
      </c>
      <c r="G87" s="12" t="n">
        <f aca="false">E87/Combined_Summary!$B$23</f>
        <v>1235.14343261719</v>
      </c>
      <c r="H87" s="12" t="n">
        <f aca="false">F87/Combined_Summary!$B$23</f>
        <v>1385.85932159424</v>
      </c>
      <c r="I87" s="12" t="n">
        <f aca="false">H87-G87</f>
        <v>150.715888977051</v>
      </c>
      <c r="J87" s="13" t="n">
        <f aca="false">IF(G87=0,"",I87/G87)</f>
        <v>0.122022985344863</v>
      </c>
    </row>
    <row r="88" customFormat="false" ht="15" hidden="false" customHeight="false" outlineLevel="0" collapsed="false">
      <c r="A88" s="3" t="n">
        <v>42320</v>
      </c>
      <c r="B88" s="3" t="n">
        <v>188684</v>
      </c>
      <c r="C88" s="18" t="n">
        <v>674</v>
      </c>
      <c r="D88" s="18" t="n">
        <v>674</v>
      </c>
      <c r="E88" s="19" t="n">
        <v>347.431262392672</v>
      </c>
      <c r="F88" s="19" t="n">
        <v>378.662805653467</v>
      </c>
      <c r="G88" s="12" t="n">
        <f aca="false">E88/Combined_Summary!$B$23</f>
        <v>1389.72504957069</v>
      </c>
      <c r="H88" s="12" t="n">
        <f aca="false">F88/Combined_Summary!$B$23</f>
        <v>1514.65122261387</v>
      </c>
      <c r="I88" s="12" t="n">
        <f aca="false">H88-G88</f>
        <v>124.92617304318</v>
      </c>
      <c r="J88" s="13" t="n">
        <f aca="false">IF(G88=0,"",I88/G88)</f>
        <v>0.089892725961709</v>
      </c>
    </row>
    <row r="89" customFormat="false" ht="15" hidden="false" customHeight="false" outlineLevel="0" collapsed="false">
      <c r="A89" s="3" t="n">
        <v>42321</v>
      </c>
      <c r="B89" s="3" t="n">
        <v>188688</v>
      </c>
      <c r="C89" s="18" t="n">
        <v>766</v>
      </c>
      <c r="D89" s="18" t="n">
        <v>766</v>
      </c>
      <c r="E89" s="19" t="n">
        <v>348.034595350061</v>
      </c>
      <c r="F89" s="19" t="n">
        <v>381.948315353991</v>
      </c>
      <c r="G89" s="12" t="n">
        <f aca="false">E89/Combined_Summary!$B$23</f>
        <v>1392.13838140025</v>
      </c>
      <c r="H89" s="12" t="n">
        <f aca="false">F89/Combined_Summary!$B$23</f>
        <v>1527.79326141596</v>
      </c>
      <c r="I89" s="12" t="n">
        <f aca="false">H89-G89</f>
        <v>135.65488001572</v>
      </c>
      <c r="J89" s="13" t="n">
        <f aca="false">IF(G89=0,"",I89/G89)</f>
        <v>0.0974435313530216</v>
      </c>
    </row>
    <row r="90" customFormat="false" ht="15" hidden="false" customHeight="false" outlineLevel="0" collapsed="false">
      <c r="A90" s="3" t="n">
        <v>42322</v>
      </c>
      <c r="B90" s="3" t="n">
        <v>182339</v>
      </c>
      <c r="C90" s="18" t="n">
        <v>786</v>
      </c>
      <c r="D90" s="18" t="n">
        <v>786</v>
      </c>
      <c r="E90" s="19" t="n">
        <v>337.120944180865</v>
      </c>
      <c r="F90" s="19" t="n">
        <v>368.340956486515</v>
      </c>
      <c r="G90" s="12" t="n">
        <f aca="false">E90/Combined_Summary!$B$23</f>
        <v>1348.48377672346</v>
      </c>
      <c r="H90" s="12" t="n">
        <f aca="false">F90/Combined_Summary!$B$23</f>
        <v>1473.36382594606</v>
      </c>
      <c r="I90" s="12" t="n">
        <f aca="false">H90-G90</f>
        <v>124.880049222602</v>
      </c>
      <c r="J90" s="13" t="n">
        <f aca="false">IF(G90=0,"",I90/G90)</f>
        <v>0.0926077505552457</v>
      </c>
    </row>
    <row r="91" customFormat="false" ht="15" hidden="false" customHeight="false" outlineLevel="0" collapsed="false">
      <c r="A91" s="3" t="n">
        <v>42340</v>
      </c>
      <c r="B91" s="3" t="n">
        <v>193697</v>
      </c>
      <c r="C91" s="18" t="n">
        <v>469</v>
      </c>
      <c r="D91" s="18" t="n">
        <v>469</v>
      </c>
      <c r="E91" s="19" t="n">
        <v>351.138897373224</v>
      </c>
      <c r="F91" s="19" t="n">
        <v>377.07111578252</v>
      </c>
      <c r="G91" s="12" t="n">
        <f aca="false">E91/Combined_Summary!$B$23</f>
        <v>1404.5555894929</v>
      </c>
      <c r="H91" s="12" t="n">
        <f aca="false">F91/Combined_Summary!$B$23</f>
        <v>1508.28446313008</v>
      </c>
      <c r="I91" s="12" t="n">
        <f aca="false">H91-G91</f>
        <v>103.728873637185</v>
      </c>
      <c r="J91" s="13" t="n">
        <f aca="false">IF(G91=0,"",I91/G91)</f>
        <v>0.0738517395916211</v>
      </c>
    </row>
    <row r="92" customFormat="false" ht="15" hidden="false" customHeight="false" outlineLevel="0" collapsed="false">
      <c r="A92" s="3" t="n">
        <v>42341</v>
      </c>
      <c r="B92" s="3" t="n">
        <v>187675</v>
      </c>
      <c r="C92" s="18" t="n">
        <v>635</v>
      </c>
      <c r="D92" s="18" t="n">
        <v>635</v>
      </c>
      <c r="E92" s="19" t="n">
        <v>338.318058067983</v>
      </c>
      <c r="F92" s="19" t="n">
        <v>373.029802601732</v>
      </c>
      <c r="G92" s="12" t="n">
        <f aca="false">E92/Combined_Summary!$B$23</f>
        <v>1353.27223227193</v>
      </c>
      <c r="H92" s="12" t="n">
        <f aca="false">F92/Combined_Summary!$B$23</f>
        <v>1492.11921040693</v>
      </c>
      <c r="I92" s="12" t="n">
        <f aca="false">H92-G92</f>
        <v>138.846978134997</v>
      </c>
      <c r="J92" s="13" t="n">
        <f aca="false">IF(G92=0,"",I92/G92)</f>
        <v>0.102600921546949</v>
      </c>
    </row>
    <row r="93" customFormat="false" ht="15" hidden="false" customHeight="false" outlineLevel="0" collapsed="false">
      <c r="A93" s="3" t="n">
        <v>42342</v>
      </c>
      <c r="B93" s="3" t="n">
        <v>187701</v>
      </c>
      <c r="C93" s="18" t="n">
        <v>424</v>
      </c>
      <c r="D93" s="18" t="n">
        <v>424</v>
      </c>
      <c r="E93" s="19" t="n">
        <v>390.391063402284</v>
      </c>
      <c r="F93" s="19" t="n">
        <v>417.923185024621</v>
      </c>
      <c r="G93" s="12" t="n">
        <f aca="false">E93/Combined_Summary!$B$23</f>
        <v>1561.56425360914</v>
      </c>
      <c r="H93" s="12" t="n">
        <f aca="false">F93/Combined_Summary!$B$23</f>
        <v>1671.69274009849</v>
      </c>
      <c r="I93" s="12" t="n">
        <f aca="false">H93-G93</f>
        <v>110.12848648935</v>
      </c>
      <c r="J93" s="13" t="n">
        <f aca="false">IF(G93=0,"",I93/G93)</f>
        <v>0.0705244668830101</v>
      </c>
    </row>
    <row r="94" customFormat="false" ht="15" hidden="false" customHeight="false" outlineLevel="0" collapsed="false">
      <c r="A94" s="3" t="n">
        <v>42363</v>
      </c>
      <c r="B94" s="3" t="n">
        <v>180955</v>
      </c>
      <c r="C94" s="18" t="n">
        <v>749</v>
      </c>
      <c r="D94" s="18" t="n">
        <v>749</v>
      </c>
      <c r="E94" s="19" t="n">
        <v>299.379576312525</v>
      </c>
      <c r="F94" s="19" t="n">
        <v>324.506900150722</v>
      </c>
      <c r="G94" s="12" t="n">
        <f aca="false">E94/Combined_Summary!$B$23</f>
        <v>1197.5183052501</v>
      </c>
      <c r="H94" s="12" t="n">
        <f aca="false">F94/Combined_Summary!$B$23</f>
        <v>1298.02760060289</v>
      </c>
      <c r="I94" s="12" t="n">
        <f aca="false">H94-G94</f>
        <v>100.509295352788</v>
      </c>
      <c r="J94" s="13" t="n">
        <f aca="false">IF(G94=0,"",I94/G94)</f>
        <v>0.0839313227297988</v>
      </c>
    </row>
    <row r="95" customFormat="false" ht="15" hidden="false" customHeight="false" outlineLevel="0" collapsed="false">
      <c r="A95" s="3" t="n">
        <v>42364</v>
      </c>
      <c r="B95" s="3" t="n">
        <v>188670</v>
      </c>
      <c r="C95" s="18" t="n">
        <v>648</v>
      </c>
      <c r="D95" s="18" t="n">
        <v>648</v>
      </c>
      <c r="E95" s="19" t="n">
        <v>324.631570939665</v>
      </c>
      <c r="F95" s="19" t="n">
        <v>361.047168696368</v>
      </c>
      <c r="G95" s="12" t="n">
        <f aca="false">E95/Combined_Summary!$B$23</f>
        <v>1298.52628375866</v>
      </c>
      <c r="H95" s="12" t="n">
        <f aca="false">F95/Combined_Summary!$B$23</f>
        <v>1444.18867478547</v>
      </c>
      <c r="I95" s="12" t="n">
        <f aca="false">H95-G95</f>
        <v>145.662391026815</v>
      </c>
      <c r="J95" s="13" t="n">
        <f aca="false">IF(G95=0,"",I95/G95)</f>
        <v>0.112175157983854</v>
      </c>
    </row>
    <row r="96" customFormat="false" ht="15" hidden="false" customHeight="false" outlineLevel="0" collapsed="false">
      <c r="A96" s="3" t="n">
        <v>42365</v>
      </c>
      <c r="B96" s="3" t="n">
        <v>187673</v>
      </c>
      <c r="C96" s="18" t="n">
        <v>573</v>
      </c>
      <c r="D96" s="18" t="n">
        <v>573</v>
      </c>
      <c r="E96" s="19" t="n">
        <v>340.501969022901</v>
      </c>
      <c r="F96" s="19" t="n">
        <v>358.426688016189</v>
      </c>
      <c r="G96" s="12" t="n">
        <f aca="false">E96/Combined_Summary!$B$23</f>
        <v>1362.0078760916</v>
      </c>
      <c r="H96" s="12" t="n">
        <f aca="false">F96/Combined_Summary!$B$23</f>
        <v>1433.70675206476</v>
      </c>
      <c r="I96" s="12" t="n">
        <f aca="false">H96-G96</f>
        <v>71.6988759731535</v>
      </c>
      <c r="J96" s="13" t="n">
        <f aca="false">IF(G96=0,"",I96/G96)</f>
        <v>0.0526420421142493</v>
      </c>
    </row>
    <row r="97" customFormat="false" ht="15" hidden="false" customHeight="false" outlineLevel="0" collapsed="false">
      <c r="A97" s="3" t="n">
        <v>42382</v>
      </c>
      <c r="B97" s="3" t="n">
        <v>180979</v>
      </c>
      <c r="C97" s="18" t="n">
        <v>920</v>
      </c>
      <c r="D97" s="18" t="n">
        <v>920</v>
      </c>
      <c r="E97" s="19" t="n">
        <v>319.861190766874</v>
      </c>
      <c r="F97" s="19" t="n">
        <v>350.447553808793</v>
      </c>
      <c r="G97" s="12" t="n">
        <f aca="false">E97/Combined_Summary!$B$23</f>
        <v>1279.44476306749</v>
      </c>
      <c r="H97" s="12" t="n">
        <f aca="false">F97/Combined_Summary!$B$23</f>
        <v>1401.79021523517</v>
      </c>
      <c r="I97" s="12" t="n">
        <f aca="false">H97-G97</f>
        <v>122.345452167677</v>
      </c>
      <c r="J97" s="13" t="n">
        <f aca="false">IF(G97=0,"",I97/G97)</f>
        <v>0.0956238641161429</v>
      </c>
    </row>
    <row r="98" customFormat="false" ht="15" hidden="false" customHeight="false" outlineLevel="0" collapsed="false">
      <c r="A98" s="3" t="n">
        <v>42383</v>
      </c>
      <c r="B98" s="3" t="n">
        <v>187682</v>
      </c>
      <c r="C98" s="18" t="n">
        <v>446</v>
      </c>
      <c r="D98" s="18" t="n">
        <v>446</v>
      </c>
      <c r="E98" s="19" t="n">
        <v>311.397788026408</v>
      </c>
      <c r="F98" s="19" t="n">
        <v>359.663829256066</v>
      </c>
      <c r="G98" s="12" t="n">
        <f aca="false">E98/Combined_Summary!$B$23</f>
        <v>1245.59115210563</v>
      </c>
      <c r="H98" s="12" t="n">
        <f aca="false">F98/Combined_Summary!$B$23</f>
        <v>1438.65531702427</v>
      </c>
      <c r="I98" s="12" t="n">
        <f aca="false">H98-G98</f>
        <v>193.064164918635</v>
      </c>
      <c r="J98" s="13" t="n">
        <f aca="false">IF(G98=0,"",I98/G98)</f>
        <v>0.154998022097593</v>
      </c>
    </row>
    <row r="99" customFormat="false" ht="15" hidden="false" customHeight="false" outlineLevel="0" collapsed="false">
      <c r="A99" s="3" t="n">
        <v>42384</v>
      </c>
      <c r="B99" s="3" t="n">
        <v>638841</v>
      </c>
      <c r="C99" s="18" t="n">
        <v>16</v>
      </c>
      <c r="D99" s="18" t="n">
        <v>16</v>
      </c>
      <c r="E99" s="19" t="n">
        <v>335.25238609314</v>
      </c>
      <c r="F99" s="19" t="n">
        <v>357.868724822998</v>
      </c>
      <c r="G99" s="12" t="n">
        <f aca="false">E99/Combined_Summary!$B$23</f>
        <v>1341.00954437256</v>
      </c>
      <c r="H99" s="12" t="n">
        <f aca="false">F99/Combined_Summary!$B$23</f>
        <v>1431.47489929199</v>
      </c>
      <c r="I99" s="12" t="n">
        <f aca="false">H99-G99</f>
        <v>90.4653549194336</v>
      </c>
      <c r="J99" s="13" t="n">
        <f aca="false">IF(G99=0,"",I99/G99)</f>
        <v>0.0674606346383323</v>
      </c>
    </row>
    <row r="100" customFormat="false" ht="15" hidden="false" customHeight="false" outlineLevel="0" collapsed="false">
      <c r="A100" s="3" t="n">
        <v>42385</v>
      </c>
      <c r="B100" s="3" t="n">
        <v>187679</v>
      </c>
      <c r="C100" s="18" t="n">
        <v>1714</v>
      </c>
      <c r="D100" s="18" t="n">
        <v>1714</v>
      </c>
      <c r="E100" s="19" t="n">
        <v>335.084600697877</v>
      </c>
      <c r="F100" s="19" t="n">
        <v>363.720742242339</v>
      </c>
      <c r="G100" s="12" t="n">
        <f aca="false">E100/Combined_Summary!$B$23</f>
        <v>1340.33840279151</v>
      </c>
      <c r="H100" s="12" t="n">
        <f aca="false">F100/Combined_Summary!$B$23</f>
        <v>1454.88296896936</v>
      </c>
      <c r="I100" s="12" t="n">
        <f aca="false">H100-G100</f>
        <v>114.544566177848</v>
      </c>
      <c r="J100" s="13" t="n">
        <f aca="false">IF(G100=0,"",I100/G100)</f>
        <v>0.085459437660883</v>
      </c>
    </row>
    <row r="101" customFormat="false" ht="15" hidden="false" customHeight="false" outlineLevel="0" collapsed="false">
      <c r="A101" s="3" t="n">
        <v>42403</v>
      </c>
      <c r="B101" s="3" t="n">
        <v>180981</v>
      </c>
      <c r="C101" s="18" t="n">
        <v>373</v>
      </c>
      <c r="D101" s="18" t="n">
        <v>373</v>
      </c>
      <c r="E101" s="19" t="n">
        <v>359.88498262298</v>
      </c>
      <c r="F101" s="19" t="n">
        <v>383.014955985962</v>
      </c>
      <c r="G101" s="12" t="n">
        <f aca="false">E101/Combined_Summary!$B$23</f>
        <v>1439.53993049192</v>
      </c>
      <c r="H101" s="12" t="n">
        <f aca="false">F101/Combined_Summary!$B$23</f>
        <v>1532.05982394385</v>
      </c>
      <c r="I101" s="12" t="n">
        <f aca="false">H101-G101</f>
        <v>92.519893451926</v>
      </c>
      <c r="J101" s="13" t="n">
        <f aca="false">IF(G101=0,"",I101/G101)</f>
        <v>0.0642704599519584</v>
      </c>
    </row>
    <row r="102" customFormat="false" ht="15" hidden="false" customHeight="false" outlineLevel="0" collapsed="false">
      <c r="A102" s="3" t="n">
        <v>42404</v>
      </c>
      <c r="B102" s="3" t="n">
        <v>187420</v>
      </c>
      <c r="C102" s="18" t="n">
        <v>696</v>
      </c>
      <c r="D102" s="18" t="n">
        <v>696</v>
      </c>
      <c r="E102" s="19" t="n">
        <v>327.088709261226</v>
      </c>
      <c r="F102" s="19" t="n">
        <v>356.025084374965</v>
      </c>
      <c r="G102" s="12" t="n">
        <f aca="false">E102/Combined_Summary!$B$23</f>
        <v>1308.3548370449</v>
      </c>
      <c r="H102" s="12" t="n">
        <f aca="false">F102/Combined_Summary!$B$23</f>
        <v>1424.10033749986</v>
      </c>
      <c r="I102" s="12" t="n">
        <f aca="false">H102-G102</f>
        <v>115.745500454957</v>
      </c>
      <c r="J102" s="13" t="n">
        <f aca="false">IF(G102=0,"",I102/G102)</f>
        <v>0.0884664444061553</v>
      </c>
    </row>
    <row r="103" customFormat="false" ht="15" hidden="false" customHeight="false" outlineLevel="0" collapsed="false">
      <c r="A103" s="3" t="n">
        <v>42405</v>
      </c>
      <c r="B103" s="3" t="n">
        <v>187681</v>
      </c>
      <c r="C103" s="18" t="n">
        <v>570</v>
      </c>
      <c r="D103" s="18" t="n">
        <v>570</v>
      </c>
      <c r="E103" s="19" t="n">
        <v>320.759478184215</v>
      </c>
      <c r="F103" s="19" t="n">
        <v>358.165043934605</v>
      </c>
      <c r="G103" s="12" t="n">
        <f aca="false">E103/Combined_Summary!$B$23</f>
        <v>1283.03791273686</v>
      </c>
      <c r="H103" s="12" t="n">
        <f aca="false">F103/Combined_Summary!$B$23</f>
        <v>1432.66017573842</v>
      </c>
      <c r="I103" s="12" t="n">
        <f aca="false">H103-G103</f>
        <v>149.622263001559</v>
      </c>
      <c r="J103" s="13" t="n">
        <f aca="false">IF(G103=0,"",I103/G103)</f>
        <v>0.116615621032116</v>
      </c>
    </row>
    <row r="104" customFormat="false" ht="15" hidden="false" customHeight="false" outlineLevel="0" collapsed="false">
      <c r="A104" s="3" t="n">
        <v>42417</v>
      </c>
      <c r="B104" s="3" t="n">
        <v>635072</v>
      </c>
      <c r="C104" s="18" t="n">
        <v>16</v>
      </c>
      <c r="D104" s="18" t="n">
        <v>16</v>
      </c>
      <c r="E104" s="19" t="n">
        <v>379.48069190979</v>
      </c>
      <c r="F104" s="19" t="n">
        <v>413.013822555542</v>
      </c>
      <c r="G104" s="12" t="n">
        <f aca="false">E104/Combined_Summary!$B$23</f>
        <v>1517.92276763916</v>
      </c>
      <c r="H104" s="12" t="n">
        <f aca="false">F104/Combined_Summary!$B$23</f>
        <v>1652.05529022217</v>
      </c>
      <c r="I104" s="12" t="n">
        <f aca="false">H104-G104</f>
        <v>134.132522583008</v>
      </c>
      <c r="J104" s="13" t="n">
        <f aca="false">IF(G104=0,"",I104/G104)</f>
        <v>0.088365841426587</v>
      </c>
    </row>
    <row r="105" customFormat="false" ht="15" hidden="false" customHeight="false" outlineLevel="0" collapsed="false">
      <c r="A105" s="3" t="n">
        <v>42418</v>
      </c>
      <c r="B105" s="3" t="n">
        <v>182384</v>
      </c>
      <c r="C105" s="18" t="n">
        <v>776</v>
      </c>
      <c r="D105" s="18" t="n">
        <v>776</v>
      </c>
      <c r="E105" s="19" t="n">
        <v>335.979228295002</v>
      </c>
      <c r="F105" s="19" t="n">
        <v>359.998651858458</v>
      </c>
      <c r="G105" s="12" t="n">
        <f aca="false">E105/Combined_Summary!$B$23</f>
        <v>1343.91691318001</v>
      </c>
      <c r="H105" s="12" t="n">
        <f aca="false">F105/Combined_Summary!$B$23</f>
        <v>1439.99460743383</v>
      </c>
      <c r="I105" s="12" t="n">
        <f aca="false">H105-G105</f>
        <v>96.0776942538232</v>
      </c>
      <c r="J105" s="13" t="n">
        <f aca="false">IF(G105=0,"",I105/G105)</f>
        <v>0.0714907992537142</v>
      </c>
    </row>
    <row r="106" customFormat="false" ht="15" hidden="false" customHeight="false" outlineLevel="0" collapsed="false">
      <c r="A106" s="3" t="n">
        <v>42419</v>
      </c>
      <c r="B106" s="3" t="n">
        <v>640544</v>
      </c>
      <c r="C106" s="18" t="n">
        <v>16</v>
      </c>
      <c r="D106" s="18" t="n">
        <v>16</v>
      </c>
      <c r="E106" s="19" t="n">
        <v>270.232686042786</v>
      </c>
      <c r="F106" s="19" t="n">
        <v>335.664226531982</v>
      </c>
      <c r="G106" s="12" t="n">
        <f aca="false">E106/Combined_Summary!$B$23</f>
        <v>1080.93074417114</v>
      </c>
      <c r="H106" s="12" t="n">
        <f aca="false">F106/Combined_Summary!$B$23</f>
        <v>1342.65690612793</v>
      </c>
      <c r="I106" s="12" t="n">
        <f aca="false">H106-G106</f>
        <v>261.726161956787</v>
      </c>
      <c r="J106" s="13" t="n">
        <f aca="false">IF(G106=0,"",I106/G106)</f>
        <v>0.242130370856903</v>
      </c>
    </row>
    <row r="107" customFormat="false" ht="15" hidden="false" customHeight="false" outlineLevel="0" collapsed="false">
      <c r="A107" s="3" t="n">
        <v>42420</v>
      </c>
      <c r="B107" s="3" t="n">
        <v>187768</v>
      </c>
      <c r="C107" s="18" t="n">
        <v>1466</v>
      </c>
      <c r="D107" s="18" t="n">
        <v>1466</v>
      </c>
      <c r="E107" s="19" t="n">
        <v>313.125681248726</v>
      </c>
      <c r="F107" s="19" t="n">
        <v>350.706961466541</v>
      </c>
      <c r="G107" s="12" t="n">
        <f aca="false">E107/Combined_Summary!$B$23</f>
        <v>1252.5027249949</v>
      </c>
      <c r="H107" s="12" t="n">
        <f aca="false">F107/Combined_Summary!$B$23</f>
        <v>1402.82784586616</v>
      </c>
      <c r="I107" s="12" t="n">
        <f aca="false">H107-G107</f>
        <v>150.325120871259</v>
      </c>
      <c r="J107" s="13" t="n">
        <f aca="false">IF(G107=0,"",I107/G107)</f>
        <v>0.120019795463415</v>
      </c>
    </row>
    <row r="108" customFormat="false" ht="15" hidden="false" customHeight="false" outlineLevel="0" collapsed="false">
      <c r="A108" s="3" t="n">
        <v>42421</v>
      </c>
      <c r="B108" s="3" t="n">
        <v>187767</v>
      </c>
      <c r="C108" s="18" t="n">
        <v>787</v>
      </c>
      <c r="D108" s="18" t="n">
        <v>787</v>
      </c>
      <c r="E108" s="19" t="n">
        <v>319.004322735448</v>
      </c>
      <c r="F108" s="19" t="n">
        <v>354.243132042309</v>
      </c>
      <c r="G108" s="12" t="n">
        <f aca="false">E108/Combined_Summary!$B$23</f>
        <v>1276.01729094179</v>
      </c>
      <c r="H108" s="12" t="n">
        <f aca="false">F108/Combined_Summary!$B$23</f>
        <v>1416.97252816924</v>
      </c>
      <c r="I108" s="12" t="n">
        <f aca="false">H108-G108</f>
        <v>140.955237227444</v>
      </c>
      <c r="J108" s="13" t="n">
        <f aca="false">IF(G108=0,"",I108/G108)</f>
        <v>0.110464989955903</v>
      </c>
    </row>
    <row r="109" customFormat="false" ht="15" hidden="false" customHeight="false" outlineLevel="0" collapsed="false">
      <c r="A109" s="3" t="n">
        <v>42422</v>
      </c>
      <c r="B109" s="3" t="n">
        <v>187787</v>
      </c>
      <c r="C109" s="18" t="n">
        <v>652</v>
      </c>
      <c r="D109" s="18" t="n">
        <v>652</v>
      </c>
      <c r="E109" s="19" t="n">
        <v>352.360729264335</v>
      </c>
      <c r="F109" s="19" t="n">
        <v>374.093123968394</v>
      </c>
      <c r="G109" s="12" t="n">
        <f aca="false">E109/Combined_Summary!$B$23</f>
        <v>1409.44291705734</v>
      </c>
      <c r="H109" s="12" t="n">
        <f aca="false">F109/Combined_Summary!$B$23</f>
        <v>1496.37249587357</v>
      </c>
      <c r="I109" s="12" t="n">
        <f aca="false">H109-G109</f>
        <v>86.9295788162324</v>
      </c>
      <c r="J109" s="13" t="n">
        <f aca="false">IF(G109=0,"",I109/G109)</f>
        <v>0.0616765516107069</v>
      </c>
    </row>
    <row r="110" customFormat="false" ht="15" hidden="false" customHeight="false" outlineLevel="0" collapsed="false">
      <c r="A110" s="3" t="n">
        <v>42438</v>
      </c>
      <c r="B110" s="3" t="n">
        <v>182389</v>
      </c>
      <c r="C110" s="18" t="n">
        <v>691</v>
      </c>
      <c r="D110" s="18" t="n">
        <v>691</v>
      </c>
      <c r="E110" s="19" t="n">
        <v>347.202561241846</v>
      </c>
      <c r="F110" s="19" t="n">
        <v>368.530130720346</v>
      </c>
      <c r="G110" s="12" t="n">
        <f aca="false">E110/Combined_Summary!$B$23</f>
        <v>1388.81024496738</v>
      </c>
      <c r="H110" s="12" t="n">
        <f aca="false">F110/Combined_Summary!$B$23</f>
        <v>1474.12052288138</v>
      </c>
      <c r="I110" s="12" t="n">
        <f aca="false">H110-G110</f>
        <v>85.3102779140004</v>
      </c>
      <c r="J110" s="13" t="n">
        <f aca="false">IF(G110=0,"",I110/G110)</f>
        <v>0.0614268783105096</v>
      </c>
    </row>
    <row r="111" customFormat="false" ht="15" hidden="false" customHeight="false" outlineLevel="0" collapsed="false">
      <c r="A111" s="3" t="n">
        <v>42453</v>
      </c>
      <c r="B111" s="3" t="n">
        <v>181028</v>
      </c>
      <c r="C111" s="18" t="n">
        <v>380</v>
      </c>
      <c r="D111" s="18" t="n">
        <v>380</v>
      </c>
      <c r="E111" s="19" t="n">
        <v>320.89354065343</v>
      </c>
      <c r="F111" s="19" t="n">
        <v>351.270394656533</v>
      </c>
      <c r="G111" s="12" t="n">
        <f aca="false">E111/Combined_Summary!$B$23</f>
        <v>1283.57416261372</v>
      </c>
      <c r="H111" s="12" t="n">
        <f aca="false">F111/Combined_Summary!$B$23</f>
        <v>1405.08157862613</v>
      </c>
      <c r="I111" s="12" t="n">
        <f aca="false">H111-G111</f>
        <v>121.507416012413</v>
      </c>
      <c r="J111" s="13" t="n">
        <f aca="false">IF(G111=0,"",I111/G111)</f>
        <v>0.0946633389417791</v>
      </c>
    </row>
    <row r="112" customFormat="false" ht="15" hidden="false" customHeight="false" outlineLevel="0" collapsed="false">
      <c r="A112" s="3" t="n">
        <v>42454</v>
      </c>
      <c r="B112" s="3" t="n">
        <v>187758</v>
      </c>
      <c r="C112" s="18" t="n">
        <v>593</v>
      </c>
      <c r="D112" s="18" t="n">
        <v>593</v>
      </c>
      <c r="E112" s="19" t="n">
        <v>354.129294435652</v>
      </c>
      <c r="F112" s="19" t="n">
        <v>383.515582414341</v>
      </c>
      <c r="G112" s="12" t="n">
        <f aca="false">E112/Combined_Summary!$B$23</f>
        <v>1416.51717774261</v>
      </c>
      <c r="H112" s="12" t="n">
        <f aca="false">F112/Combined_Summary!$B$23</f>
        <v>1534.06232965736</v>
      </c>
      <c r="I112" s="12" t="n">
        <f aca="false">H112-G112</f>
        <v>117.545151914754</v>
      </c>
      <c r="J112" s="13" t="n">
        <f aca="false">IF(G112=0,"",I112/G112)</f>
        <v>0.0829818047826829</v>
      </c>
    </row>
    <row r="113" customFormat="false" ht="15" hidden="false" customHeight="false" outlineLevel="0" collapsed="false">
      <c r="A113" s="3" t="n">
        <v>42455</v>
      </c>
      <c r="B113" s="3" t="n">
        <v>187778</v>
      </c>
      <c r="C113" s="18" t="n">
        <v>1049</v>
      </c>
      <c r="D113" s="18" t="n">
        <v>1049</v>
      </c>
      <c r="E113" s="19" t="n">
        <v>374.893158853565</v>
      </c>
      <c r="F113" s="19" t="n">
        <v>404.541179529705</v>
      </c>
      <c r="G113" s="12" t="n">
        <f aca="false">E113/Combined_Summary!$B$23</f>
        <v>1499.57263541426</v>
      </c>
      <c r="H113" s="12" t="n">
        <f aca="false">F113/Combined_Summary!$B$23</f>
        <v>1618.16471811882</v>
      </c>
      <c r="I113" s="12" t="n">
        <f aca="false">H113-G113</f>
        <v>118.592082704557</v>
      </c>
      <c r="J113" s="13" t="n">
        <f aca="false">IF(G113=0,"",I113/G113)</f>
        <v>0.0790839202475813</v>
      </c>
    </row>
    <row r="114" customFormat="false" ht="15" hidden="false" customHeight="false" outlineLevel="0" collapsed="false">
      <c r="A114" s="3" t="n">
        <v>42479</v>
      </c>
      <c r="B114" s="3" t="n">
        <v>597227</v>
      </c>
      <c r="C114" s="18" t="n">
        <v>16</v>
      </c>
      <c r="D114" s="18" t="n">
        <v>16</v>
      </c>
      <c r="E114" s="19" t="n">
        <v>375.286905288696</v>
      </c>
      <c r="F114" s="19" t="n">
        <v>395.017440795898</v>
      </c>
      <c r="G114" s="12" t="n">
        <f aca="false">E114/Combined_Summary!$B$23</f>
        <v>1501.14762115479</v>
      </c>
      <c r="H114" s="12" t="n">
        <f aca="false">F114/Combined_Summary!$B$23</f>
        <v>1580.06976318359</v>
      </c>
      <c r="I114" s="12" t="n">
        <f aca="false">H114-G114</f>
        <v>78.9221420288084</v>
      </c>
      <c r="J114" s="13" t="n">
        <f aca="false">IF(G114=0,"",I114/G114)</f>
        <v>0.0525745375848486</v>
      </c>
    </row>
    <row r="115" customFormat="false" ht="15" hidden="false" customHeight="false" outlineLevel="0" collapsed="false">
      <c r="A115" s="3" t="n">
        <v>42480</v>
      </c>
      <c r="B115" s="3" t="n">
        <v>181012</v>
      </c>
      <c r="C115" s="18" t="n">
        <v>571</v>
      </c>
      <c r="D115" s="18" t="n">
        <v>571</v>
      </c>
      <c r="E115" s="19" t="n">
        <v>363.901704217006</v>
      </c>
      <c r="F115" s="19" t="n">
        <v>387.187266789051</v>
      </c>
      <c r="G115" s="12" t="n">
        <f aca="false">E115/Combined_Summary!$B$23</f>
        <v>1455.60681686802</v>
      </c>
      <c r="H115" s="12" t="n">
        <f aca="false">F115/Combined_Summary!$B$23</f>
        <v>1548.7490671562</v>
      </c>
      <c r="I115" s="12" t="n">
        <f aca="false">H115-G115</f>
        <v>93.1422502881801</v>
      </c>
      <c r="J115" s="13" t="n">
        <f aca="false">IF(G115=0,"",I115/G115)</f>
        <v>0.0639886054453846</v>
      </c>
    </row>
    <row r="116" customFormat="false" ht="15" hidden="false" customHeight="false" outlineLevel="0" collapsed="false">
      <c r="A116" s="3" t="n">
        <v>42481</v>
      </c>
      <c r="B116" s="3" t="n">
        <v>182415</v>
      </c>
      <c r="C116" s="18" t="n">
        <v>626</v>
      </c>
      <c r="D116" s="18" t="n">
        <v>626</v>
      </c>
      <c r="E116" s="19" t="n">
        <v>328.173976776318</v>
      </c>
      <c r="F116" s="19" t="n">
        <v>366.696733639263</v>
      </c>
      <c r="G116" s="12" t="n">
        <f aca="false">E116/Combined_Summary!$B$23</f>
        <v>1312.69590710527</v>
      </c>
      <c r="H116" s="12" t="n">
        <f aca="false">F116/Combined_Summary!$B$23</f>
        <v>1466.78693455705</v>
      </c>
      <c r="I116" s="12" t="n">
        <f aca="false">H116-G116</f>
        <v>154.09102745178</v>
      </c>
      <c r="J116" s="13" t="n">
        <f aca="false">IF(G116=0,"",I116/G116)</f>
        <v>0.117385166372293</v>
      </c>
    </row>
    <row r="117" customFormat="false" ht="15" hidden="false" customHeight="false" outlineLevel="0" collapsed="false">
      <c r="A117" s="3" t="n">
        <v>42489</v>
      </c>
      <c r="B117" s="3" t="n">
        <v>182414</v>
      </c>
      <c r="C117" s="18" t="n">
        <v>619</v>
      </c>
      <c r="D117" s="18" t="n">
        <v>619</v>
      </c>
      <c r="E117" s="19" t="n">
        <v>313.602320916048</v>
      </c>
      <c r="F117" s="19" t="n">
        <v>346.887324578157</v>
      </c>
      <c r="G117" s="12" t="n">
        <f aca="false">E117/Combined_Summary!$B$23</f>
        <v>1254.40928366419</v>
      </c>
      <c r="H117" s="12" t="n">
        <f aca="false">F117/Combined_Summary!$B$23</f>
        <v>1387.54929831263</v>
      </c>
      <c r="I117" s="12" t="n">
        <f aca="false">H117-G117</f>
        <v>133.140014648437</v>
      </c>
      <c r="J117" s="13" t="n">
        <f aca="false">IF(G117=0,"",I117/G117)</f>
        <v>0.106137619022978</v>
      </c>
    </row>
    <row r="118" customFormat="false" ht="15" hidden="false" customHeight="false" outlineLevel="0" collapsed="false">
      <c r="A118" s="3" t="n">
        <v>42513</v>
      </c>
      <c r="B118" s="3" t="n">
        <v>180986</v>
      </c>
      <c r="C118" s="18" t="n">
        <v>719</v>
      </c>
      <c r="D118" s="18" t="n">
        <v>719</v>
      </c>
      <c r="E118" s="19" t="n">
        <v>349.611106426892</v>
      </c>
      <c r="F118" s="19" t="n">
        <v>377.059180640379</v>
      </c>
      <c r="G118" s="12" t="n">
        <f aca="false">E118/Combined_Summary!$B$23</f>
        <v>1398.44442570757</v>
      </c>
      <c r="H118" s="12" t="n">
        <f aca="false">F118/Combined_Summary!$B$23</f>
        <v>1508.23672256151</v>
      </c>
      <c r="I118" s="12" t="n">
        <f aca="false">H118-G118</f>
        <v>109.792296853948</v>
      </c>
      <c r="J118" s="13" t="n">
        <f aca="false">IF(G118=0,"",I118/G118)</f>
        <v>0.0785103039031361</v>
      </c>
    </row>
    <row r="119" customFormat="false" ht="15" hidden="false" customHeight="false" outlineLevel="0" collapsed="false">
      <c r="A119" s="3" t="n">
        <v>42514</v>
      </c>
      <c r="B119" s="3" t="n">
        <v>182437</v>
      </c>
      <c r="C119" s="18" t="n">
        <v>500</v>
      </c>
      <c r="D119" s="18" t="n">
        <v>500</v>
      </c>
      <c r="E119" s="19" t="n">
        <v>306.113433486939</v>
      </c>
      <c r="F119" s="19" t="n">
        <v>334.965534408569</v>
      </c>
      <c r="G119" s="12" t="n">
        <f aca="false">E119/Combined_Summary!$B$23</f>
        <v>1224.45373394775</v>
      </c>
      <c r="H119" s="12" t="n">
        <f aca="false">F119/Combined_Summary!$B$23</f>
        <v>1339.86213763428</v>
      </c>
      <c r="I119" s="12" t="n">
        <f aca="false">H119-G119</f>
        <v>115.408403686523</v>
      </c>
      <c r="J119" s="13" t="n">
        <f aca="false">IF(G119=0,"",I119/G119)</f>
        <v>0.0942529721514553</v>
      </c>
    </row>
    <row r="120" customFormat="false" ht="15" hidden="false" customHeight="false" outlineLevel="0" collapsed="false">
      <c r="A120" s="3" t="n">
        <v>42515</v>
      </c>
      <c r="B120" s="3" t="n">
        <v>182397</v>
      </c>
      <c r="C120" s="18" t="n">
        <v>1068</v>
      </c>
      <c r="D120" s="18" t="n">
        <v>1068</v>
      </c>
      <c r="E120" s="19" t="n">
        <v>356.732662415237</v>
      </c>
      <c r="F120" s="19" t="n">
        <v>383.450700609872</v>
      </c>
      <c r="G120" s="12" t="n">
        <f aca="false">E120/Combined_Summary!$B$23</f>
        <v>1426.93064966095</v>
      </c>
      <c r="H120" s="12" t="n">
        <f aca="false">F120/Combined_Summary!$B$23</f>
        <v>1533.80280243949</v>
      </c>
      <c r="I120" s="12" t="n">
        <f aca="false">H120-G120</f>
        <v>106.87215277854</v>
      </c>
      <c r="J120" s="13" t="n">
        <f aca="false">IF(G120=0,"",I120/G120)</f>
        <v>0.07489652899665</v>
      </c>
    </row>
    <row r="121" customFormat="false" ht="15" hidden="false" customHeight="false" outlineLevel="0" collapsed="false">
      <c r="A121" s="3" t="n">
        <v>42516</v>
      </c>
      <c r="B121" s="3" t="n">
        <v>187753</v>
      </c>
      <c r="C121" s="18" t="n">
        <v>493</v>
      </c>
      <c r="D121" s="18" t="n">
        <v>493</v>
      </c>
      <c r="E121" s="19" t="n">
        <v>379.668684690526</v>
      </c>
      <c r="F121" s="19" t="n">
        <v>414.199552152994</v>
      </c>
      <c r="G121" s="12" t="n">
        <f aca="false">E121/Combined_Summary!$B$23</f>
        <v>1518.6747387621</v>
      </c>
      <c r="H121" s="12" t="n">
        <f aca="false">F121/Combined_Summary!$B$23</f>
        <v>1656.79820861197</v>
      </c>
      <c r="I121" s="12" t="n">
        <f aca="false">H121-G121</f>
        <v>138.123469849871</v>
      </c>
      <c r="J121" s="13" t="n">
        <f aca="false">IF(G121=0,"",I121/G121)</f>
        <v>0.0909500015536291</v>
      </c>
    </row>
    <row r="122" customFormat="false" ht="15" hidden="false" customHeight="false" outlineLevel="0" collapsed="false">
      <c r="A122" s="3" t="n">
        <v>42517</v>
      </c>
      <c r="B122" s="3" t="n">
        <v>187776</v>
      </c>
      <c r="C122" s="18" t="n">
        <v>326</v>
      </c>
      <c r="D122" s="18" t="n">
        <v>326</v>
      </c>
      <c r="E122" s="19" t="n">
        <v>363.462141914602</v>
      </c>
      <c r="F122" s="19" t="n">
        <v>392.924948382231</v>
      </c>
      <c r="G122" s="12" t="n">
        <f aca="false">E122/Combined_Summary!$B$23</f>
        <v>1453.84856765841</v>
      </c>
      <c r="H122" s="12" t="n">
        <f aca="false">F122/Combined_Summary!$B$23</f>
        <v>1571.69979352893</v>
      </c>
      <c r="I122" s="12" t="n">
        <f aca="false">H122-G122</f>
        <v>117.851225870519</v>
      </c>
      <c r="J122" s="13" t="n">
        <f aca="false">IF(G122=0,"",I122/G122)</f>
        <v>0.0810615551661834</v>
      </c>
    </row>
    <row r="123" customFormat="false" ht="15" hidden="false" customHeight="false" outlineLevel="0" collapsed="false">
      <c r="A123" s="3" t="n">
        <v>42518</v>
      </c>
      <c r="B123" s="3" t="n">
        <v>564826</v>
      </c>
      <c r="C123" s="18" t="n">
        <v>14</v>
      </c>
      <c r="D123" s="18" t="n">
        <v>14</v>
      </c>
      <c r="E123" s="19" t="n">
        <v>468.974062238421</v>
      </c>
      <c r="F123" s="19" t="n">
        <v>490.85826764788</v>
      </c>
      <c r="G123" s="12" t="n">
        <f aca="false">E123/Combined_Summary!$B$23</f>
        <v>1875.89624895368</v>
      </c>
      <c r="H123" s="12" t="n">
        <f aca="false">F123/Combined_Summary!$B$23</f>
        <v>1963.43307059152</v>
      </c>
      <c r="I123" s="12" t="n">
        <f aca="false">H123-G123</f>
        <v>87.5368216378352</v>
      </c>
      <c r="J123" s="13" t="n">
        <f aca="false">IF(G123=0,"",I123/G123)</f>
        <v>0.0466639995077875</v>
      </c>
    </row>
    <row r="124" customFormat="false" ht="15" hidden="false" customHeight="false" outlineLevel="0" collapsed="false">
      <c r="A124" s="3" t="n">
        <v>42536</v>
      </c>
      <c r="B124" s="3" t="n">
        <v>180988</v>
      </c>
      <c r="C124" s="18" t="n">
        <v>973</v>
      </c>
      <c r="D124" s="18" t="n">
        <v>973</v>
      </c>
      <c r="E124" s="19" t="n">
        <v>328.577844460969</v>
      </c>
      <c r="F124" s="19" t="n">
        <v>357.784204614371</v>
      </c>
      <c r="G124" s="12" t="n">
        <f aca="false">E124/Combined_Summary!$B$23</f>
        <v>1314.31137784387</v>
      </c>
      <c r="H124" s="12" t="n">
        <f aca="false">F124/Combined_Summary!$B$23</f>
        <v>1431.13681845748</v>
      </c>
      <c r="I124" s="12" t="n">
        <f aca="false">H124-G124</f>
        <v>116.825440613608</v>
      </c>
      <c r="J124" s="13" t="n">
        <f aca="false">IF(G124=0,"",I124/G124)</f>
        <v>0.0888871865396618</v>
      </c>
    </row>
    <row r="125" customFormat="false" ht="15" hidden="false" customHeight="false" outlineLevel="0" collapsed="false">
      <c r="A125" s="3" t="n">
        <v>42537</v>
      </c>
      <c r="B125" s="3" t="n">
        <v>462797</v>
      </c>
      <c r="C125" s="18" t="n">
        <v>502</v>
      </c>
      <c r="D125" s="18" t="n">
        <v>502</v>
      </c>
      <c r="E125" s="19" t="n">
        <v>343.980704159376</v>
      </c>
      <c r="F125" s="19" t="n">
        <v>382.851565266036</v>
      </c>
      <c r="G125" s="12" t="n">
        <f aca="false">E125/Combined_Summary!$B$23</f>
        <v>1375.9228166375</v>
      </c>
      <c r="H125" s="12" t="n">
        <f aca="false">F125/Combined_Summary!$B$23</f>
        <v>1531.40626106414</v>
      </c>
      <c r="I125" s="12" t="n">
        <f aca="false">H125-G125</f>
        <v>155.483444426639</v>
      </c>
      <c r="J125" s="13" t="n">
        <f aca="false">IF(G125=0,"",I125/G125)</f>
        <v>0.113003027892663</v>
      </c>
    </row>
    <row r="126" customFormat="false" ht="15" hidden="false" customHeight="false" outlineLevel="0" collapsed="false">
      <c r="A126" s="3" t="n">
        <v>42538</v>
      </c>
      <c r="B126" s="3" t="n">
        <v>61532</v>
      </c>
      <c r="C126" s="18" t="n">
        <v>1981</v>
      </c>
      <c r="D126" s="18" t="n">
        <v>1981</v>
      </c>
      <c r="E126" s="19" t="n">
        <v>325.074745133933</v>
      </c>
      <c r="F126" s="19" t="n">
        <v>341.741704964866</v>
      </c>
      <c r="G126" s="12" t="n">
        <f aca="false">E126/Combined_Summary!$B$23</f>
        <v>1300.29898053573</v>
      </c>
      <c r="H126" s="12" t="n">
        <f aca="false">F126/Combined_Summary!$B$23</f>
        <v>1366.96681985947</v>
      </c>
      <c r="I126" s="12" t="n">
        <f aca="false">H126-G126</f>
        <v>66.6678393237341</v>
      </c>
      <c r="J126" s="13" t="n">
        <f aca="false">IF(G126=0,"",I126/G126)</f>
        <v>0.0512711617264105</v>
      </c>
    </row>
    <row r="127" customFormat="false" ht="15" hidden="false" customHeight="false" outlineLevel="0" collapsed="false">
      <c r="A127" s="3" t="n">
        <v>42539</v>
      </c>
      <c r="B127" s="3" t="n">
        <v>574740</v>
      </c>
      <c r="C127" s="18" t="n">
        <v>17</v>
      </c>
      <c r="D127" s="18" t="n">
        <v>17</v>
      </c>
      <c r="E127" s="19" t="n">
        <v>465.749775606043</v>
      </c>
      <c r="F127" s="19" t="n">
        <v>483.113229190602</v>
      </c>
      <c r="G127" s="12" t="n">
        <f aca="false">E127/Combined_Summary!$B$23</f>
        <v>1862.99910242417</v>
      </c>
      <c r="H127" s="12" t="n">
        <f aca="false">F127/Combined_Summary!$B$23</f>
        <v>1932.45291676241</v>
      </c>
      <c r="I127" s="12" t="n">
        <f aca="false">H127-G127</f>
        <v>69.4538143382351</v>
      </c>
      <c r="J127" s="13" t="n">
        <f aca="false">IF(G127=0,"",I127/G127)</f>
        <v>0.037280648309417</v>
      </c>
    </row>
    <row r="128" customFormat="false" ht="15" hidden="false" customHeight="false" outlineLevel="0" collapsed="false">
      <c r="A128" s="3" t="n">
        <v>42549</v>
      </c>
      <c r="B128" s="3" t="n">
        <v>61353</v>
      </c>
      <c r="C128" s="18" t="n">
        <v>5341</v>
      </c>
      <c r="D128" s="18" t="n">
        <v>5341</v>
      </c>
      <c r="E128" s="19" t="n">
        <v>333.609795163799</v>
      </c>
      <c r="F128" s="19" t="n">
        <v>353.788902554122</v>
      </c>
      <c r="G128" s="12" t="n">
        <f aca="false">E128/Combined_Summary!$B$23</f>
        <v>1334.43918065519</v>
      </c>
      <c r="H128" s="12" t="n">
        <f aca="false">F128/Combined_Summary!$B$23</f>
        <v>1415.15561021649</v>
      </c>
      <c r="I128" s="12" t="n">
        <f aca="false">H128-G128</f>
        <v>80.7164295612927</v>
      </c>
      <c r="J128" s="13" t="n">
        <f aca="false">IF(G128=0,"",I128/G128)</f>
        <v>0.0604871550021949</v>
      </c>
    </row>
    <row r="129" customFormat="false" ht="15" hidden="false" customHeight="false" outlineLevel="0" collapsed="false">
      <c r="A129" s="3" t="n">
        <v>42550</v>
      </c>
      <c r="B129" s="3" t="n">
        <v>632574</v>
      </c>
      <c r="C129" s="18" t="n">
        <v>16</v>
      </c>
      <c r="D129" s="18" t="n">
        <v>16</v>
      </c>
      <c r="E129" s="19" t="n">
        <v>273.458793640137</v>
      </c>
      <c r="F129" s="19" t="n">
        <v>309.916374206543</v>
      </c>
      <c r="G129" s="12" t="n">
        <f aca="false">E129/Combined_Summary!$B$23</f>
        <v>1093.83517456055</v>
      </c>
      <c r="H129" s="12" t="n">
        <f aca="false">F129/Combined_Summary!$B$23</f>
        <v>1239.66549682617</v>
      </c>
      <c r="I129" s="12" t="n">
        <f aca="false">H129-G129</f>
        <v>145.830322265625</v>
      </c>
      <c r="J129" s="13" t="n">
        <f aca="false">IF(G129=0,"",I129/G129)</f>
        <v>0.133320198195503</v>
      </c>
    </row>
    <row r="130" customFormat="false" ht="15" hidden="false" customHeight="false" outlineLevel="0" collapsed="false">
      <c r="A130" s="3" t="n">
        <v>42551</v>
      </c>
      <c r="B130" s="3" t="n">
        <v>182400</v>
      </c>
      <c r="C130" s="18" t="n">
        <v>839</v>
      </c>
      <c r="D130" s="18" t="n">
        <v>839</v>
      </c>
      <c r="E130" s="19" t="n">
        <v>326.644415654215</v>
      </c>
      <c r="F130" s="19" t="n">
        <v>364.973022370003</v>
      </c>
      <c r="G130" s="12" t="n">
        <f aca="false">E130/Combined_Summary!$B$23</f>
        <v>1306.57766261686</v>
      </c>
      <c r="H130" s="12" t="n">
        <f aca="false">F130/Combined_Summary!$B$23</f>
        <v>1459.89208948001</v>
      </c>
      <c r="I130" s="12" t="n">
        <f aca="false">H130-G130</f>
        <v>153.314426863151</v>
      </c>
      <c r="J130" s="13" t="n">
        <f aca="false">IF(G130=0,"",I130/G130)</f>
        <v>0.117340462224103</v>
      </c>
    </row>
    <row r="131" customFormat="false" ht="15" hidden="false" customHeight="false" outlineLevel="0" collapsed="false">
      <c r="A131" s="3" t="n">
        <v>42552</v>
      </c>
      <c r="B131" s="3" t="n">
        <v>187748</v>
      </c>
      <c r="C131" s="18" t="n">
        <v>463</v>
      </c>
      <c r="D131" s="18" t="n">
        <v>463</v>
      </c>
      <c r="E131" s="19" t="n">
        <v>334.943128870064</v>
      </c>
      <c r="F131" s="19" t="n">
        <v>368.214462840531</v>
      </c>
      <c r="G131" s="12" t="n">
        <f aca="false">E131/Combined_Summary!$B$23</f>
        <v>1339.77251548026</v>
      </c>
      <c r="H131" s="12" t="n">
        <f aca="false">F131/Combined_Summary!$B$23</f>
        <v>1472.85785136213</v>
      </c>
      <c r="I131" s="12" t="n">
        <f aca="false">H131-G131</f>
        <v>133.085335881869</v>
      </c>
      <c r="J131" s="13" t="n">
        <f aca="false">IF(G131=0,"",I131/G131)</f>
        <v>0.0993342782779533</v>
      </c>
    </row>
    <row r="132" customFormat="false" ht="15" hidden="false" customHeight="false" outlineLevel="0" collapsed="false">
      <c r="A132" s="3" t="n">
        <v>42553</v>
      </c>
      <c r="B132" s="3" t="n">
        <v>180692</v>
      </c>
      <c r="C132" s="18" t="n">
        <v>521</v>
      </c>
      <c r="D132" s="18" t="n">
        <v>521</v>
      </c>
      <c r="E132" s="19" t="n">
        <v>321.973184772279</v>
      </c>
      <c r="F132" s="19" t="n">
        <v>356.764809562698</v>
      </c>
      <c r="G132" s="12" t="n">
        <f aca="false">E132/Combined_Summary!$B$23</f>
        <v>1287.89273908912</v>
      </c>
      <c r="H132" s="12" t="n">
        <f aca="false">F132/Combined_Summary!$B$23</f>
        <v>1427.05923825079</v>
      </c>
      <c r="I132" s="12" t="n">
        <f aca="false">H132-G132</f>
        <v>139.166499161674</v>
      </c>
      <c r="J132" s="13" t="n">
        <f aca="false">IF(G132=0,"",I132/G132)</f>
        <v>0.108057522911498</v>
      </c>
    </row>
    <row r="133" customFormat="false" ht="15" hidden="false" customHeight="false" outlineLevel="0" collapsed="false">
      <c r="A133" s="3" t="n">
        <v>42568</v>
      </c>
      <c r="B133" s="3" t="n">
        <v>632576</v>
      </c>
      <c r="C133" s="18" t="n">
        <v>16</v>
      </c>
      <c r="D133" s="18" t="n">
        <v>16</v>
      </c>
      <c r="E133" s="19" t="n">
        <v>350.517292022705</v>
      </c>
      <c r="F133" s="19" t="n">
        <v>386.846750259399</v>
      </c>
      <c r="G133" s="12" t="n">
        <f aca="false">E133/Combined_Summary!$B$23</f>
        <v>1402.06916809082</v>
      </c>
      <c r="H133" s="12" t="n">
        <f aca="false">F133/Combined_Summary!$B$23</f>
        <v>1547.3870010376</v>
      </c>
      <c r="I133" s="12" t="n">
        <f aca="false">H133-G133</f>
        <v>145.317832946777</v>
      </c>
      <c r="J133" s="13" t="n">
        <f aca="false">IF(G133=0,"",I133/G133)</f>
        <v>0.103645266762876</v>
      </c>
    </row>
    <row r="134" customFormat="false" ht="15" hidden="false" customHeight="false" outlineLevel="0" collapsed="false">
      <c r="A134" s="3" t="n">
        <v>42569</v>
      </c>
      <c r="B134" s="3" t="n">
        <v>182435</v>
      </c>
      <c r="C134" s="18" t="n">
        <v>1151</v>
      </c>
      <c r="D134" s="18" t="n">
        <v>1151</v>
      </c>
      <c r="E134" s="19" t="n">
        <v>313.755450884225</v>
      </c>
      <c r="F134" s="19" t="n">
        <v>355.906757875073</v>
      </c>
      <c r="G134" s="12" t="n">
        <f aca="false">E134/Combined_Summary!$B$23</f>
        <v>1255.0218035369</v>
      </c>
      <c r="H134" s="12" t="n">
        <f aca="false">F134/Combined_Summary!$B$23</f>
        <v>1423.62703150029</v>
      </c>
      <c r="I134" s="12" t="n">
        <f aca="false">H134-G134</f>
        <v>168.605227963392</v>
      </c>
      <c r="J134" s="13" t="n">
        <f aca="false">IF(G134=0,"",I134/G134)</f>
        <v>0.134344461178467</v>
      </c>
    </row>
    <row r="135" customFormat="false" ht="15" hidden="false" customHeight="false" outlineLevel="0" collapsed="false">
      <c r="A135" s="3" t="n">
        <v>42570</v>
      </c>
      <c r="B135" s="3" t="n">
        <v>187808</v>
      </c>
      <c r="C135" s="18" t="n">
        <v>492</v>
      </c>
      <c r="D135" s="18" t="n">
        <v>492</v>
      </c>
      <c r="E135" s="19" t="n">
        <v>326.389947961016</v>
      </c>
      <c r="F135" s="19" t="n">
        <v>361.816241163548</v>
      </c>
      <c r="G135" s="12" t="n">
        <f aca="false">E135/Combined_Summary!$B$23</f>
        <v>1305.55979184407</v>
      </c>
      <c r="H135" s="12" t="n">
        <f aca="false">F135/Combined_Summary!$B$23</f>
        <v>1447.26496465419</v>
      </c>
      <c r="I135" s="12" t="n">
        <f aca="false">H135-G135</f>
        <v>141.705172810128</v>
      </c>
      <c r="J135" s="13" t="n">
        <f aca="false">IF(G135=0,"",I135/G135)</f>
        <v>0.10853978017351</v>
      </c>
    </row>
    <row r="136" customFormat="false" ht="15" hidden="false" customHeight="false" outlineLevel="0" collapsed="false">
      <c r="A136" s="3" t="n">
        <v>42577</v>
      </c>
      <c r="B136" s="3" t="n">
        <v>182408</v>
      </c>
      <c r="C136" s="18" t="n">
        <v>379</v>
      </c>
      <c r="D136" s="18" t="n">
        <v>379</v>
      </c>
      <c r="E136" s="19" t="n">
        <v>341.199581679694</v>
      </c>
      <c r="F136" s="19" t="n">
        <v>371.688768150309</v>
      </c>
      <c r="G136" s="12" t="n">
        <f aca="false">E136/Combined_Summary!$B$23</f>
        <v>1364.79832671878</v>
      </c>
      <c r="H136" s="12" t="n">
        <f aca="false">F136/Combined_Summary!$B$23</f>
        <v>1486.75507260124</v>
      </c>
      <c r="I136" s="12" t="n">
        <f aca="false">H136-G136</f>
        <v>121.956745882462</v>
      </c>
      <c r="J136" s="13" t="n">
        <f aca="false">IF(G136=0,"",I136/G136)</f>
        <v>0.0893588037843425</v>
      </c>
    </row>
    <row r="137" customFormat="false" ht="15" hidden="false" customHeight="false" outlineLevel="0" collapsed="false">
      <c r="A137" s="3" t="n">
        <v>42578</v>
      </c>
      <c r="B137" s="3" t="n">
        <v>586213</v>
      </c>
      <c r="C137" s="18" t="n">
        <v>12</v>
      </c>
      <c r="D137" s="18" t="n">
        <v>12</v>
      </c>
      <c r="E137" s="19" t="n">
        <v>351.826286315918</v>
      </c>
      <c r="F137" s="19" t="n">
        <v>358.657691955566</v>
      </c>
      <c r="G137" s="12" t="n">
        <f aca="false">E137/Combined_Summary!$B$23</f>
        <v>1407.30514526367</v>
      </c>
      <c r="H137" s="12" t="n">
        <f aca="false">F137/Combined_Summary!$B$23</f>
        <v>1434.63076782227</v>
      </c>
      <c r="I137" s="12" t="n">
        <f aca="false">H137-G137</f>
        <v>27.3256225585935</v>
      </c>
      <c r="J137" s="13" t="n">
        <f aca="false">IF(G137=0,"",I137/G137)</f>
        <v>0.019416984760241</v>
      </c>
    </row>
    <row r="138" customFormat="false" ht="15" hidden="false" customHeight="false" outlineLevel="0" collapsed="false">
      <c r="A138" s="3" t="n">
        <v>42579</v>
      </c>
      <c r="B138" s="3" t="n">
        <v>585129</v>
      </c>
      <c r="C138" s="18" t="n">
        <v>17</v>
      </c>
      <c r="D138" s="18" t="n">
        <v>17</v>
      </c>
      <c r="E138" s="19" t="n">
        <v>364.154269947725</v>
      </c>
      <c r="F138" s="19" t="n">
        <v>378.919158935547</v>
      </c>
      <c r="G138" s="12" t="n">
        <f aca="false">E138/Combined_Summary!$B$23</f>
        <v>1456.6170797909</v>
      </c>
      <c r="H138" s="12" t="n">
        <f aca="false">F138/Combined_Summary!$B$23</f>
        <v>1515.67663574219</v>
      </c>
      <c r="I138" s="12" t="n">
        <f aca="false">H138-G138</f>
        <v>59.0595559512867</v>
      </c>
      <c r="J138" s="13" t="n">
        <f aca="false">IF(G138=0,"",I138/G138)</f>
        <v>0.0405456978163161</v>
      </c>
    </row>
    <row r="139" customFormat="false" ht="15" hidden="false" customHeight="false" outlineLevel="0" collapsed="false">
      <c r="A139" s="3" t="n">
        <v>45091</v>
      </c>
      <c r="B139" s="3" t="n">
        <v>182512</v>
      </c>
      <c r="C139" s="18" t="n">
        <v>18</v>
      </c>
      <c r="D139" s="18" t="n">
        <v>18</v>
      </c>
      <c r="E139" s="19" t="n">
        <v>239.624432457818</v>
      </c>
      <c r="F139" s="19" t="n">
        <v>275.468543158637</v>
      </c>
      <c r="G139" s="12" t="n">
        <f aca="false">E139/Combined_Summary!$B$23</f>
        <v>958.497729831272</v>
      </c>
      <c r="H139" s="12" t="n">
        <f aca="false">F139/Combined_Summary!$B$23</f>
        <v>1101.87417263455</v>
      </c>
      <c r="I139" s="12" t="n">
        <f aca="false">H139-G139</f>
        <v>143.376442803277</v>
      </c>
      <c r="J139" s="13" t="n">
        <f aca="false">IF(G139=0,"",I139/G139)</f>
        <v>0.149584540829863</v>
      </c>
    </row>
    <row r="140" customFormat="false" ht="15" hidden="false" customHeight="false" outlineLevel="0" collapsed="false">
      <c r="A140" s="3" t="n">
        <v>45110</v>
      </c>
      <c r="B140" s="3" t="n">
        <v>182284</v>
      </c>
      <c r="C140" s="18" t="n">
        <v>524</v>
      </c>
      <c r="D140" s="18" t="n">
        <v>524</v>
      </c>
      <c r="E140" s="19" t="n">
        <v>350.85956300488</v>
      </c>
      <c r="F140" s="19" t="n">
        <v>381.483530510473</v>
      </c>
      <c r="G140" s="12" t="n">
        <f aca="false">E140/Combined_Summary!$B$23</f>
        <v>1403.43825201952</v>
      </c>
      <c r="H140" s="12" t="n">
        <f aca="false">F140/Combined_Summary!$B$23</f>
        <v>1525.93412204189</v>
      </c>
      <c r="I140" s="12" t="n">
        <f aca="false">H140-G140</f>
        <v>122.495870022374</v>
      </c>
      <c r="J140" s="13" t="n">
        <f aca="false">IF(G140=0,"",I140/G140)</f>
        <v>0.0872826929479119</v>
      </c>
    </row>
    <row r="141" customFormat="false" ht="15" hidden="false" customHeight="false" outlineLevel="0" collapsed="false">
      <c r="A141" s="3" t="n">
        <v>45112</v>
      </c>
      <c r="B141" s="3" t="n">
        <v>182290</v>
      </c>
      <c r="C141" s="18" t="n">
        <v>203</v>
      </c>
      <c r="D141" s="18" t="n">
        <v>203</v>
      </c>
      <c r="E141" s="19" t="n">
        <v>357.362176303206</v>
      </c>
      <c r="F141" s="19" t="n">
        <v>390.819988607773</v>
      </c>
      <c r="G141" s="12" t="n">
        <f aca="false">E141/Combined_Summary!$B$23</f>
        <v>1429.44870521282</v>
      </c>
      <c r="H141" s="12" t="n">
        <f aca="false">F141/Combined_Summary!$B$23</f>
        <v>1563.27995443109</v>
      </c>
      <c r="I141" s="12" t="n">
        <f aca="false">H141-G141</f>
        <v>133.831249218269</v>
      </c>
      <c r="J141" s="13" t="n">
        <f aca="false">IF(G141=0,"",I141/G141)</f>
        <v>0.0936243803154471</v>
      </c>
    </row>
    <row r="142" customFormat="false" ht="15" hidden="false" customHeight="false" outlineLevel="0" collapsed="false">
      <c r="A142" s="3" t="n">
        <v>45113</v>
      </c>
      <c r="B142" s="3" t="n">
        <v>187495</v>
      </c>
      <c r="C142" s="18" t="n">
        <v>420</v>
      </c>
      <c r="D142" s="18" t="n">
        <v>420</v>
      </c>
      <c r="E142" s="19" t="n">
        <v>349.436724708194</v>
      </c>
      <c r="F142" s="19" t="n">
        <v>370.693667747861</v>
      </c>
      <c r="G142" s="12" t="n">
        <f aca="false">E142/Combined_Summary!$B$23</f>
        <v>1397.74689883278</v>
      </c>
      <c r="H142" s="12" t="n">
        <f aca="false">F142/Combined_Summary!$B$23</f>
        <v>1482.77467099144</v>
      </c>
      <c r="I142" s="12" t="n">
        <f aca="false">H142-G142</f>
        <v>85.0277721586679</v>
      </c>
      <c r="J142" s="13" t="n">
        <f aca="false">IF(G142=0,"",I142/G142)</f>
        <v>0.0608320234726849</v>
      </c>
    </row>
    <row r="143" customFormat="false" ht="15" hidden="false" customHeight="false" outlineLevel="0" collapsed="false">
      <c r="A143" s="3" t="n">
        <v>45114</v>
      </c>
      <c r="B143" s="3" t="n">
        <v>187532</v>
      </c>
      <c r="C143" s="18" t="n">
        <v>529</v>
      </c>
      <c r="D143" s="18" t="n">
        <v>529</v>
      </c>
      <c r="E143" s="19" t="n">
        <v>346.761348039306</v>
      </c>
      <c r="F143" s="19" t="n">
        <v>373.717787455972</v>
      </c>
      <c r="G143" s="12" t="n">
        <f aca="false">E143/Combined_Summary!$B$23</f>
        <v>1387.04539215722</v>
      </c>
      <c r="H143" s="12" t="n">
        <f aca="false">F143/Combined_Summary!$B$23</f>
        <v>1494.87114982389</v>
      </c>
      <c r="I143" s="12" t="n">
        <f aca="false">H143-G143</f>
        <v>107.825757666662</v>
      </c>
      <c r="J143" s="13" t="n">
        <f aca="false">IF(G143=0,"",I143/G143)</f>
        <v>0.0777377281784295</v>
      </c>
    </row>
    <row r="144" customFormat="false" ht="15" hidden="false" customHeight="false" outlineLevel="0" collapsed="false">
      <c r="A144" s="3" t="n">
        <v>45115</v>
      </c>
      <c r="B144" s="3" t="n">
        <v>187600</v>
      </c>
      <c r="C144" s="18" t="n">
        <v>523</v>
      </c>
      <c r="D144" s="18" t="n">
        <v>523</v>
      </c>
      <c r="E144" s="19" t="n">
        <v>366.192292550782</v>
      </c>
      <c r="F144" s="19" t="n">
        <v>396.656763503474</v>
      </c>
      <c r="G144" s="12" t="n">
        <f aca="false">E144/Combined_Summary!$B$23</f>
        <v>1464.76917020313</v>
      </c>
      <c r="H144" s="12" t="n">
        <f aca="false">F144/Combined_Summary!$B$23</f>
        <v>1586.6270540139</v>
      </c>
      <c r="I144" s="12" t="n">
        <f aca="false">H144-G144</f>
        <v>121.857883810769</v>
      </c>
      <c r="J144" s="13" t="n">
        <f aca="false">IF(G144=0,"",I144/G144)</f>
        <v>0.0831925509422557</v>
      </c>
    </row>
    <row r="145" customFormat="false" ht="15" hidden="false" customHeight="false" outlineLevel="0" collapsed="false">
      <c r="A145" s="3" t="n">
        <v>45128</v>
      </c>
      <c r="B145" s="3" t="n">
        <v>182283</v>
      </c>
      <c r="C145" s="18" t="n">
        <v>615</v>
      </c>
      <c r="D145" s="18" t="n">
        <v>615</v>
      </c>
      <c r="E145" s="19" t="n">
        <v>338.869758953312</v>
      </c>
      <c r="F145" s="19" t="n">
        <v>368.371238646469</v>
      </c>
      <c r="G145" s="12" t="n">
        <f aca="false">E145/Combined_Summary!$B$23</f>
        <v>1355.47903581325</v>
      </c>
      <c r="H145" s="12" t="n">
        <f aca="false">F145/Combined_Summary!$B$23</f>
        <v>1473.48495458587</v>
      </c>
      <c r="I145" s="12" t="n">
        <f aca="false">H145-G145</f>
        <v>118.005918772628</v>
      </c>
      <c r="J145" s="13" t="n">
        <f aca="false">IF(G145=0,"",I145/G145)</f>
        <v>0.0870584609977591</v>
      </c>
    </row>
    <row r="146" customFormat="false" ht="15" hidden="false" customHeight="false" outlineLevel="0" collapsed="false">
      <c r="A146" s="3" t="n">
        <v>45129</v>
      </c>
      <c r="B146" s="3" t="n">
        <v>187522</v>
      </c>
      <c r="C146" s="18" t="n">
        <v>491</v>
      </c>
      <c r="D146" s="18" t="n">
        <v>491</v>
      </c>
      <c r="E146" s="19" t="n">
        <v>344.481154913815</v>
      </c>
      <c r="F146" s="19" t="n">
        <v>372.365798344195</v>
      </c>
      <c r="G146" s="12" t="n">
        <f aca="false">E146/Combined_Summary!$B$23</f>
        <v>1377.92461965526</v>
      </c>
      <c r="H146" s="12" t="n">
        <f aca="false">F146/Combined_Summary!$B$23</f>
        <v>1489.46319337678</v>
      </c>
      <c r="I146" s="12" t="n">
        <f aca="false">H146-G146</f>
        <v>111.538573721518</v>
      </c>
      <c r="J146" s="13" t="n">
        <f aca="false">IF(G146=0,"",I146/G146)</f>
        <v>0.0809467892005761</v>
      </c>
    </row>
    <row r="147" customFormat="false" ht="15" hidden="false" customHeight="false" outlineLevel="0" collapsed="false">
      <c r="A147" s="3" t="n">
        <v>45130</v>
      </c>
      <c r="B147" s="3" t="n">
        <v>187551</v>
      </c>
      <c r="C147" s="18" t="n">
        <v>465</v>
      </c>
      <c r="D147" s="18" t="n">
        <v>465</v>
      </c>
      <c r="E147" s="19" t="n">
        <v>299.114358758414</v>
      </c>
      <c r="F147" s="19" t="n">
        <v>328.320205721291</v>
      </c>
      <c r="G147" s="12" t="n">
        <f aca="false">E147/Combined_Summary!$B$23</f>
        <v>1196.45743503365</v>
      </c>
      <c r="H147" s="12" t="n">
        <f aca="false">F147/Combined_Summary!$B$23</f>
        <v>1313.28082288516</v>
      </c>
      <c r="I147" s="12" t="n">
        <f aca="false">H147-G147</f>
        <v>116.82338785151</v>
      </c>
      <c r="J147" s="13" t="n">
        <f aca="false">IF(G147=0,"",I147/G147)</f>
        <v>0.0976410730802337</v>
      </c>
    </row>
    <row r="148" customFormat="false" ht="15" hidden="false" customHeight="false" outlineLevel="0" collapsed="false">
      <c r="A148" s="3" t="n">
        <v>45144</v>
      </c>
      <c r="B148" s="3" t="n">
        <v>187524</v>
      </c>
      <c r="C148" s="18" t="n">
        <v>539</v>
      </c>
      <c r="D148" s="18" t="n">
        <v>539</v>
      </c>
      <c r="E148" s="19" t="n">
        <v>365.521328036108</v>
      </c>
      <c r="F148" s="19" t="n">
        <v>394.05125759882</v>
      </c>
      <c r="G148" s="12" t="n">
        <f aca="false">E148/Combined_Summary!$B$23</f>
        <v>1462.08531214443</v>
      </c>
      <c r="H148" s="12" t="n">
        <f aca="false">F148/Combined_Summary!$B$23</f>
        <v>1576.20503039528</v>
      </c>
      <c r="I148" s="12" t="n">
        <f aca="false">H148-G148</f>
        <v>114.119718250848</v>
      </c>
      <c r="J148" s="13" t="n">
        <f aca="false">IF(G148=0,"",I148/G148)</f>
        <v>0.0780527082126756</v>
      </c>
    </row>
    <row r="149" customFormat="false" ht="15" hidden="false" customHeight="false" outlineLevel="0" collapsed="false">
      <c r="A149" s="3" t="n">
        <v>45145</v>
      </c>
      <c r="B149" s="3" t="n">
        <v>187527</v>
      </c>
      <c r="C149" s="18" t="n">
        <v>354</v>
      </c>
      <c r="D149" s="18" t="n">
        <v>354</v>
      </c>
      <c r="E149" s="19" t="n">
        <v>333.070254913158</v>
      </c>
      <c r="F149" s="19" t="n">
        <v>366.983314902096</v>
      </c>
      <c r="G149" s="12" t="n">
        <f aca="false">E149/Combined_Summary!$B$23</f>
        <v>1332.28101965263</v>
      </c>
      <c r="H149" s="12" t="n">
        <f aca="false">F149/Combined_Summary!$B$23</f>
        <v>1467.93325960838</v>
      </c>
      <c r="I149" s="12" t="n">
        <f aca="false">H149-G149</f>
        <v>135.652239955751</v>
      </c>
      <c r="J149" s="13" t="n">
        <f aca="false">IF(G149=0,"",I149/G149)</f>
        <v>0.101819539537627</v>
      </c>
    </row>
    <row r="150" customFormat="false" ht="15" hidden="false" customHeight="false" outlineLevel="0" collapsed="false">
      <c r="A150" s="3" t="n">
        <v>45160</v>
      </c>
      <c r="B150" s="3" t="n">
        <v>187559</v>
      </c>
      <c r="C150" s="18" t="n">
        <v>317</v>
      </c>
      <c r="D150" s="18" t="n">
        <v>317</v>
      </c>
      <c r="E150" s="19" t="n">
        <v>347.198631479161</v>
      </c>
      <c r="F150" s="19" t="n">
        <v>372.012499018046</v>
      </c>
      <c r="G150" s="12" t="n">
        <f aca="false">E150/Combined_Summary!$B$23</f>
        <v>1388.79452591664</v>
      </c>
      <c r="H150" s="12" t="n">
        <f aca="false">F150/Combined_Summary!$B$23</f>
        <v>1488.04999607219</v>
      </c>
      <c r="I150" s="12" t="n">
        <f aca="false">H150-G150</f>
        <v>99.2554701555416</v>
      </c>
      <c r="J150" s="13" t="n">
        <f aca="false">IF(G150=0,"",I150/G150)</f>
        <v>0.0714687941976371</v>
      </c>
    </row>
    <row r="151" customFormat="false" ht="15" hidden="false" customHeight="false" outlineLevel="0" collapsed="false">
      <c r="A151" s="3" t="n">
        <v>45161</v>
      </c>
      <c r="B151" s="3" t="n">
        <v>187569</v>
      </c>
      <c r="C151" s="18" t="n">
        <v>734</v>
      </c>
      <c r="D151" s="18" t="n">
        <v>734</v>
      </c>
      <c r="E151" s="19" t="n">
        <v>325.313268069026</v>
      </c>
      <c r="F151" s="19" t="n">
        <v>362.462358074552</v>
      </c>
      <c r="G151" s="12" t="n">
        <f aca="false">E151/Combined_Summary!$B$23</f>
        <v>1301.2530722761</v>
      </c>
      <c r="H151" s="12" t="n">
        <f aca="false">F151/Combined_Summary!$B$23</f>
        <v>1449.84943229821</v>
      </c>
      <c r="I151" s="12" t="n">
        <f aca="false">H151-G151</f>
        <v>148.596360022106</v>
      </c>
      <c r="J151" s="13" t="n">
        <f aca="false">IF(G151=0,"",I151/G151)</f>
        <v>0.114194819738013</v>
      </c>
    </row>
    <row r="152" customFormat="false" ht="15" hidden="false" customHeight="false" outlineLevel="0" collapsed="false">
      <c r="A152" s="3" t="n">
        <v>45176</v>
      </c>
      <c r="B152" s="3" t="n">
        <v>182266</v>
      </c>
      <c r="C152" s="18" t="n">
        <v>429</v>
      </c>
      <c r="D152" s="18" t="n">
        <v>429</v>
      </c>
      <c r="E152" s="19" t="n">
        <v>358.371316033921</v>
      </c>
      <c r="F152" s="19" t="n">
        <v>376.724752430594</v>
      </c>
      <c r="G152" s="12" t="n">
        <f aca="false">E152/Combined_Summary!$B$23</f>
        <v>1433.48526413569</v>
      </c>
      <c r="H152" s="12" t="n">
        <f aca="false">F152/Combined_Summary!$B$23</f>
        <v>1506.89900972237</v>
      </c>
      <c r="I152" s="12" t="n">
        <f aca="false">H152-G152</f>
        <v>73.413745586689</v>
      </c>
      <c r="J152" s="13" t="n">
        <f aca="false">IF(G152=0,"",I152/G152)</f>
        <v>0.0512134637330601</v>
      </c>
    </row>
    <row r="153" customFormat="false" ht="15" hidden="false" customHeight="false" outlineLevel="0" collapsed="false">
      <c r="A153" s="3" t="n">
        <v>45177</v>
      </c>
      <c r="B153" s="3" t="n">
        <v>643812</v>
      </c>
      <c r="C153" s="18" t="n">
        <v>16</v>
      </c>
      <c r="D153" s="18" t="n">
        <v>16</v>
      </c>
      <c r="E153" s="19" t="n">
        <v>302.362260818481</v>
      </c>
      <c r="F153" s="19" t="n">
        <v>334.739364624023</v>
      </c>
      <c r="G153" s="12" t="n">
        <f aca="false">E153/Combined_Summary!$B$23</f>
        <v>1209.44904327393</v>
      </c>
      <c r="H153" s="12" t="n">
        <f aca="false">F153/Combined_Summary!$B$23</f>
        <v>1338.95745849609</v>
      </c>
      <c r="I153" s="12" t="n">
        <f aca="false">H153-G153</f>
        <v>129.508415222168</v>
      </c>
      <c r="J153" s="13" t="n">
        <f aca="false">IF(G153=0,"",I153/G153)</f>
        <v>0.107080505741353</v>
      </c>
    </row>
    <row r="154" customFormat="false" ht="15" hidden="false" customHeight="false" outlineLevel="0" collapsed="false">
      <c r="A154" s="3" t="n">
        <v>45178</v>
      </c>
      <c r="B154" s="3" t="n">
        <v>462933</v>
      </c>
      <c r="C154" s="18" t="n">
        <v>173</v>
      </c>
      <c r="D154" s="18" t="n">
        <v>173</v>
      </c>
      <c r="E154" s="19" t="n">
        <v>316.800669631517</v>
      </c>
      <c r="F154" s="19" t="n">
        <v>342.567168395643</v>
      </c>
      <c r="G154" s="12" t="n">
        <f aca="false">E154/Combined_Summary!$B$23</f>
        <v>1267.20267852607</v>
      </c>
      <c r="H154" s="12" t="n">
        <f aca="false">F154/Combined_Summary!$B$23</f>
        <v>1370.26867358257</v>
      </c>
      <c r="I154" s="12" t="n">
        <f aca="false">H154-G154</f>
        <v>103.065995056505</v>
      </c>
      <c r="J154" s="13" t="n">
        <f aca="false">IF(G154=0,"",I154/G154)</f>
        <v>0.0813334731713046</v>
      </c>
    </row>
    <row r="155" customFormat="false" ht="15" hidden="false" customHeight="false" outlineLevel="0" collapsed="false">
      <c r="A155" s="3" t="n">
        <v>45179</v>
      </c>
      <c r="B155" s="3" t="n">
        <v>187639</v>
      </c>
      <c r="C155" s="18" t="n">
        <v>876</v>
      </c>
      <c r="D155" s="18" t="n">
        <v>876</v>
      </c>
      <c r="E155" s="19" t="n">
        <v>329.503870480681</v>
      </c>
      <c r="F155" s="19" t="n">
        <v>354.293563825355</v>
      </c>
      <c r="G155" s="12" t="n">
        <f aca="false">E155/Combined_Summary!$B$23</f>
        <v>1318.01548192272</v>
      </c>
      <c r="H155" s="12" t="n">
        <f aca="false">F155/Combined_Summary!$B$23</f>
        <v>1417.17425530142</v>
      </c>
      <c r="I155" s="12" t="n">
        <f aca="false">H155-G155</f>
        <v>99.1587733786944</v>
      </c>
      <c r="J155" s="13" t="n">
        <f aca="false">IF(G155=0,"",I155/G155)</f>
        <v>0.0752333904561131</v>
      </c>
    </row>
    <row r="156" customFormat="false" ht="15" hidden="false" customHeight="false" outlineLevel="0" collapsed="false">
      <c r="A156" s="3" t="n">
        <v>45196</v>
      </c>
      <c r="B156" s="3" t="n">
        <v>643813</v>
      </c>
      <c r="C156" s="18" t="n">
        <v>16</v>
      </c>
      <c r="D156" s="18" t="n">
        <v>16</v>
      </c>
      <c r="E156" s="19" t="n">
        <v>273.664379119873</v>
      </c>
      <c r="F156" s="19" t="n">
        <v>311.935995101929</v>
      </c>
      <c r="G156" s="12" t="n">
        <f aca="false">E156/Combined_Summary!$B$23</f>
        <v>1094.65751647949</v>
      </c>
      <c r="H156" s="12" t="n">
        <f aca="false">F156/Combined_Summary!$B$23</f>
        <v>1247.74398040771</v>
      </c>
      <c r="I156" s="12" t="n">
        <f aca="false">H156-G156</f>
        <v>153.086463928223</v>
      </c>
      <c r="J156" s="13" t="n">
        <f aca="false">IF(G156=0,"",I156/G156)</f>
        <v>0.139848730423522</v>
      </c>
    </row>
    <row r="157" customFormat="false" ht="15" hidden="false" customHeight="false" outlineLevel="0" collapsed="false">
      <c r="A157" s="3" t="n">
        <v>45197</v>
      </c>
      <c r="B157" s="3" t="n">
        <v>187426</v>
      </c>
      <c r="C157" s="18" t="n">
        <v>396</v>
      </c>
      <c r="D157" s="18" t="n">
        <v>396</v>
      </c>
      <c r="E157" s="19" t="n">
        <v>332.721689725163</v>
      </c>
      <c r="F157" s="19" t="n">
        <v>366.367233854352</v>
      </c>
      <c r="G157" s="12" t="n">
        <f aca="false">E157/Combined_Summary!$B$23</f>
        <v>1330.88675890065</v>
      </c>
      <c r="H157" s="12" t="n">
        <f aca="false">F157/Combined_Summary!$B$23</f>
        <v>1465.46893541741</v>
      </c>
      <c r="I157" s="12" t="n">
        <f aca="false">H157-G157</f>
        <v>134.582176516754</v>
      </c>
      <c r="J157" s="13" t="n">
        <f aca="false">IF(G157=0,"",I157/G157)</f>
        <v>0.101122184601132</v>
      </c>
    </row>
    <row r="158" customFormat="false" ht="15" hidden="false" customHeight="false" outlineLevel="0" collapsed="false">
      <c r="A158" s="3" t="n">
        <v>45198</v>
      </c>
      <c r="B158" s="3" t="n">
        <v>187432</v>
      </c>
      <c r="C158" s="18" t="n">
        <v>570</v>
      </c>
      <c r="D158" s="18" t="n">
        <v>570</v>
      </c>
      <c r="E158" s="19" t="n">
        <v>345.766130253307</v>
      </c>
      <c r="F158" s="19" t="n">
        <v>372.797230717174</v>
      </c>
      <c r="G158" s="12" t="n">
        <f aca="false">E158/Combined_Summary!$B$23</f>
        <v>1383.06452101323</v>
      </c>
      <c r="H158" s="12" t="n">
        <f aca="false">F158/Combined_Summary!$B$23</f>
        <v>1491.1889228687</v>
      </c>
      <c r="I158" s="12" t="n">
        <f aca="false">H158-G158</f>
        <v>108.124401855469</v>
      </c>
      <c r="J158" s="13" t="n">
        <f aca="false">IF(G158=0,"",I158/G158)</f>
        <v>0.0781774098118413</v>
      </c>
    </row>
    <row r="159" customFormat="false" ht="15" hidden="false" customHeight="false" outlineLevel="0" collapsed="false">
      <c r="A159" s="3" t="n">
        <v>45199</v>
      </c>
      <c r="B159" s="3" t="n">
        <v>187439</v>
      </c>
      <c r="C159" s="18" t="n">
        <v>530</v>
      </c>
      <c r="D159" s="18" t="n">
        <v>530</v>
      </c>
      <c r="E159" s="19" t="n">
        <v>327.798388470344</v>
      </c>
      <c r="F159" s="19" t="n">
        <v>364.670736233693</v>
      </c>
      <c r="G159" s="12" t="n">
        <f aca="false">E159/Combined_Summary!$B$23</f>
        <v>1311.19355388138</v>
      </c>
      <c r="H159" s="12" t="n">
        <f aca="false">F159/Combined_Summary!$B$23</f>
        <v>1458.68294493477</v>
      </c>
      <c r="I159" s="12" t="n">
        <f aca="false">H159-G159</f>
        <v>147.489391053398</v>
      </c>
      <c r="J159" s="13" t="n">
        <f aca="false">IF(G159=0,"",I159/G159)</f>
        <v>0.112484835375221</v>
      </c>
    </row>
    <row r="160" customFormat="false" ht="15" hidden="false" customHeight="false" outlineLevel="0" collapsed="false">
      <c r="A160" s="3" t="n">
        <v>45208</v>
      </c>
      <c r="B160" s="3" t="n">
        <v>188658</v>
      </c>
      <c r="C160" s="18" t="n">
        <v>279</v>
      </c>
      <c r="D160" s="18" t="n">
        <v>279</v>
      </c>
      <c r="E160" s="19" t="n">
        <v>377.50197688824</v>
      </c>
      <c r="F160" s="19" t="n">
        <v>402.940063367181</v>
      </c>
      <c r="G160" s="12" t="n">
        <f aca="false">E160/Combined_Summary!$B$23</f>
        <v>1510.00790755296</v>
      </c>
      <c r="H160" s="12" t="n">
        <f aca="false">F160/Combined_Summary!$B$23</f>
        <v>1611.76025346872</v>
      </c>
      <c r="I160" s="12" t="n">
        <f aca="false">H160-G160</f>
        <v>101.752345915764</v>
      </c>
      <c r="J160" s="13" t="n">
        <f aca="false">IF(G160=0,"",I160/G160)</f>
        <v>0.0673853066641607</v>
      </c>
    </row>
    <row r="161" customFormat="false" ht="15" hidden="false" customHeight="false" outlineLevel="0" collapsed="false">
      <c r="A161" s="3" t="n">
        <v>45209</v>
      </c>
      <c r="B161" s="3" t="n">
        <v>182449</v>
      </c>
      <c r="C161" s="18" t="n">
        <v>525</v>
      </c>
      <c r="D161" s="18" t="n">
        <v>525</v>
      </c>
      <c r="E161" s="19" t="n">
        <v>308.216602754139</v>
      </c>
      <c r="F161" s="19" t="n">
        <v>346.774688139416</v>
      </c>
      <c r="G161" s="12" t="n">
        <f aca="false">E161/Combined_Summary!$B$23</f>
        <v>1232.86641101656</v>
      </c>
      <c r="H161" s="12" t="n">
        <f aca="false">F161/Combined_Summary!$B$23</f>
        <v>1387.09875255766</v>
      </c>
      <c r="I161" s="12" t="n">
        <f aca="false">H161-G161</f>
        <v>154.232341541108</v>
      </c>
      <c r="J161" s="13" t="n">
        <f aca="false">IF(G161=0,"",I161/G161)</f>
        <v>0.125100611195934</v>
      </c>
    </row>
    <row r="162" customFormat="false" ht="15" hidden="false" customHeight="false" outlineLevel="0" collapsed="false">
      <c r="A162" s="3" t="n">
        <v>45220</v>
      </c>
      <c r="B162" s="3" t="n">
        <v>188668</v>
      </c>
      <c r="C162" s="18" t="n">
        <v>451</v>
      </c>
      <c r="D162" s="18" t="n">
        <v>451</v>
      </c>
      <c r="E162" s="19" t="n">
        <v>389.594181542915</v>
      </c>
      <c r="F162" s="19" t="n">
        <v>420.679043518202</v>
      </c>
      <c r="G162" s="12" t="n">
        <f aca="false">E162/Combined_Summary!$B$23</f>
        <v>1558.37672617166</v>
      </c>
      <c r="H162" s="12" t="n">
        <f aca="false">F162/Combined_Summary!$B$23</f>
        <v>1682.71617407281</v>
      </c>
      <c r="I162" s="12" t="n">
        <f aca="false">H162-G162</f>
        <v>124.339447901149</v>
      </c>
      <c r="J162" s="13" t="n">
        <f aca="false">IF(G162=0,"",I162/G162)</f>
        <v>0.0797877982986846</v>
      </c>
    </row>
    <row r="163" customFormat="false" ht="15" hidden="false" customHeight="false" outlineLevel="0" collapsed="false">
      <c r="A163" s="3" t="n">
        <v>45236</v>
      </c>
      <c r="B163" s="3" t="n">
        <v>180973</v>
      </c>
      <c r="C163" s="18" t="n">
        <v>680</v>
      </c>
      <c r="D163" s="18" t="n">
        <v>680</v>
      </c>
      <c r="E163" s="19" t="n">
        <v>336.697546891605</v>
      </c>
      <c r="F163" s="19" t="n">
        <v>368.162767096127</v>
      </c>
      <c r="G163" s="12" t="n">
        <f aca="false">E163/Combined_Summary!$B$23</f>
        <v>1346.79018756642</v>
      </c>
      <c r="H163" s="12" t="n">
        <f aca="false">F163/Combined_Summary!$B$23</f>
        <v>1472.65106838451</v>
      </c>
      <c r="I163" s="12" t="n">
        <f aca="false">H163-G163</f>
        <v>125.860880818086</v>
      </c>
      <c r="J163" s="13" t="n">
        <f aca="false">IF(G163=0,"",I163/G163)</f>
        <v>0.093452478329613</v>
      </c>
    </row>
    <row r="164" customFormat="false" ht="15" hidden="false" customHeight="false" outlineLevel="0" collapsed="false">
      <c r="A164" s="3" t="n">
        <v>45251</v>
      </c>
      <c r="B164" s="3" t="n">
        <v>182380</v>
      </c>
      <c r="C164" s="18" t="n">
        <v>611</v>
      </c>
      <c r="D164" s="18" t="n">
        <v>611</v>
      </c>
      <c r="E164" s="19" t="n">
        <v>367.761215172501</v>
      </c>
      <c r="F164" s="19" t="n">
        <v>390.187017212913</v>
      </c>
      <c r="G164" s="12" t="n">
        <f aca="false">E164/Combined_Summary!$B$23</f>
        <v>1471.04486069</v>
      </c>
      <c r="H164" s="12" t="n">
        <f aca="false">F164/Combined_Summary!$B$23</f>
        <v>1560.74806885165</v>
      </c>
      <c r="I164" s="12" t="n">
        <f aca="false">H164-G164</f>
        <v>89.7032081616492</v>
      </c>
      <c r="J164" s="13" t="n">
        <f aca="false">IF(G164=0,"",I164/G164)</f>
        <v>0.0609792471723625</v>
      </c>
    </row>
    <row r="165" customFormat="false" ht="15" hidden="false" customHeight="false" outlineLevel="0" collapsed="false">
      <c r="A165" s="3" t="n">
        <v>45275</v>
      </c>
      <c r="B165" s="3" t="n">
        <v>633729</v>
      </c>
      <c r="C165" s="18" t="n">
        <v>16</v>
      </c>
      <c r="D165" s="18" t="n">
        <v>16</v>
      </c>
      <c r="E165" s="19" t="n">
        <v>421.644691467285</v>
      </c>
      <c r="F165" s="19" t="n">
        <v>462.133760452271</v>
      </c>
      <c r="G165" s="12" t="n">
        <f aca="false">E165/Combined_Summary!$B$23</f>
        <v>1686.57876586914</v>
      </c>
      <c r="H165" s="12" t="n">
        <f aca="false">F165/Combined_Summary!$B$23</f>
        <v>1848.53504180908</v>
      </c>
      <c r="I165" s="12" t="n">
        <f aca="false">H165-G165</f>
        <v>161.956275939941</v>
      </c>
      <c r="J165" s="13" t="n">
        <f aca="false">IF(G165=0,"",I165/G165)</f>
        <v>0.0960265119052893</v>
      </c>
    </row>
    <row r="166" customFormat="false" ht="15" hidden="false" customHeight="false" outlineLevel="0" collapsed="false">
      <c r="A166" s="3" t="n">
        <v>45276</v>
      </c>
      <c r="B166" s="3" t="n">
        <v>638463</v>
      </c>
      <c r="C166" s="18" t="n">
        <v>16</v>
      </c>
      <c r="D166" s="18" t="n">
        <v>16</v>
      </c>
      <c r="E166" s="19" t="n">
        <v>163.908268928528</v>
      </c>
      <c r="F166" s="19" t="n">
        <v>197.413674354553</v>
      </c>
      <c r="G166" s="12" t="n">
        <f aca="false">E166/Combined_Summary!$B$23</f>
        <v>655.633075714111</v>
      </c>
      <c r="H166" s="12" t="n">
        <f aca="false">F166/Combined_Summary!$B$23</f>
        <v>789.654697418213</v>
      </c>
      <c r="I166" s="12" t="n">
        <f aca="false">H166-G166</f>
        <v>134.021621704102</v>
      </c>
      <c r="J166" s="13" t="n">
        <f aca="false">IF(G166=0,"",I166/G166)</f>
        <v>0.204415589555372</v>
      </c>
    </row>
    <row r="167" customFormat="false" ht="15" hidden="false" customHeight="false" outlineLevel="0" collapsed="false">
      <c r="A167" s="3" t="n">
        <v>45286</v>
      </c>
      <c r="B167" s="3" t="n">
        <v>180953</v>
      </c>
      <c r="C167" s="18" t="n">
        <v>977</v>
      </c>
      <c r="D167" s="18" t="n">
        <v>977</v>
      </c>
      <c r="E167" s="19" t="n">
        <v>339.401654668084</v>
      </c>
      <c r="F167" s="19" t="n">
        <v>362.377380433566</v>
      </c>
      <c r="G167" s="12" t="n">
        <f aca="false">E167/Combined_Summary!$B$23</f>
        <v>1357.60661867234</v>
      </c>
      <c r="H167" s="12" t="n">
        <f aca="false">F167/Combined_Summary!$B$23</f>
        <v>1449.50952173426</v>
      </c>
      <c r="I167" s="12" t="n">
        <f aca="false">H167-G167</f>
        <v>91.9029030619279</v>
      </c>
      <c r="J167" s="13" t="n">
        <f aca="false">IF(G167=0,"",I167/G167)</f>
        <v>0.0676947959724916</v>
      </c>
    </row>
    <row r="168" customFormat="false" ht="15" hidden="false" customHeight="false" outlineLevel="0" collapsed="false">
      <c r="A168" s="3" t="n">
        <v>45287</v>
      </c>
      <c r="B168" s="3" t="n">
        <v>180976</v>
      </c>
      <c r="C168" s="18" t="n">
        <v>483</v>
      </c>
      <c r="D168" s="18" t="n">
        <v>483</v>
      </c>
      <c r="E168" s="19" t="n">
        <v>356.961788422326</v>
      </c>
      <c r="F168" s="19" t="n">
        <v>379.718189752867</v>
      </c>
      <c r="G168" s="12" t="n">
        <f aca="false">E168/Combined_Summary!$B$23</f>
        <v>1427.8471536893</v>
      </c>
      <c r="H168" s="12" t="n">
        <f aca="false">F168/Combined_Summary!$B$23</f>
        <v>1518.87275901147</v>
      </c>
      <c r="I168" s="12" t="n">
        <f aca="false">H168-G168</f>
        <v>91.0256053221642</v>
      </c>
      <c r="J168" s="13" t="n">
        <f aca="false">IF(G168=0,"",I168/G168)</f>
        <v>0.0637502446161483</v>
      </c>
    </row>
    <row r="169" customFormat="false" ht="15" hidden="false" customHeight="false" outlineLevel="0" collapsed="false">
      <c r="A169" s="3" t="n">
        <v>45288</v>
      </c>
      <c r="B169" s="3" t="n">
        <v>182382</v>
      </c>
      <c r="C169" s="18" t="n">
        <v>502</v>
      </c>
      <c r="D169" s="18" t="n">
        <v>502</v>
      </c>
      <c r="E169" s="19" t="n">
        <v>332.449761804831</v>
      </c>
      <c r="F169" s="19" t="n">
        <v>357.567408147561</v>
      </c>
      <c r="G169" s="12" t="n">
        <f aca="false">E169/Combined_Summary!$B$23</f>
        <v>1329.79904721933</v>
      </c>
      <c r="H169" s="12" t="n">
        <f aca="false">F169/Combined_Summary!$B$23</f>
        <v>1430.26963259024</v>
      </c>
      <c r="I169" s="12" t="n">
        <f aca="false">H169-G169</f>
        <v>100.470585370919</v>
      </c>
      <c r="J169" s="13" t="n">
        <f aca="false">IF(G169=0,"",I169/G169)</f>
        <v>0.0755532090213237</v>
      </c>
    </row>
    <row r="170" customFormat="false" ht="15" hidden="false" customHeight="false" outlineLevel="0" collapsed="false">
      <c r="A170" s="3" t="n">
        <v>45289</v>
      </c>
      <c r="B170" s="3" t="n">
        <v>182383</v>
      </c>
      <c r="C170" s="18" t="n">
        <v>489</v>
      </c>
      <c r="D170" s="18" t="n">
        <v>489</v>
      </c>
      <c r="E170" s="19" t="n">
        <v>337.653039397881</v>
      </c>
      <c r="F170" s="19" t="n">
        <v>363.018807565264</v>
      </c>
      <c r="G170" s="12" t="n">
        <f aca="false">E170/Combined_Summary!$B$23</f>
        <v>1350.61215759153</v>
      </c>
      <c r="H170" s="12" t="n">
        <f aca="false">F170/Combined_Summary!$B$23</f>
        <v>1452.07523026106</v>
      </c>
      <c r="I170" s="12" t="n">
        <f aca="false">H170-G170</f>
        <v>101.463072669531</v>
      </c>
      <c r="J170" s="13" t="n">
        <f aca="false">IF(G170=0,"",I170/G170)</f>
        <v>0.0751237667299431</v>
      </c>
    </row>
    <row r="171" customFormat="false" ht="15" hidden="false" customHeight="false" outlineLevel="0" collapsed="false">
      <c r="A171" s="3" t="n">
        <v>45299</v>
      </c>
      <c r="B171" s="3" t="n">
        <v>180971</v>
      </c>
      <c r="C171" s="18" t="n">
        <v>685</v>
      </c>
      <c r="D171" s="18" t="n">
        <v>685</v>
      </c>
      <c r="E171" s="19" t="n">
        <v>352.451911848305</v>
      </c>
      <c r="F171" s="19" t="n">
        <v>380.192864533585</v>
      </c>
      <c r="G171" s="12" t="n">
        <f aca="false">E171/Combined_Summary!$B$23</f>
        <v>1409.80764739322</v>
      </c>
      <c r="H171" s="12" t="n">
        <f aca="false">F171/Combined_Summary!$B$23</f>
        <v>1520.77145813434</v>
      </c>
      <c r="I171" s="12" t="n">
        <f aca="false">H171-G171</f>
        <v>110.963810741118</v>
      </c>
      <c r="J171" s="13" t="n">
        <f aca="false">IF(G171=0,"",I171/G171)</f>
        <v>0.0787084755472096</v>
      </c>
    </row>
    <row r="172" customFormat="false" ht="15" hidden="false" customHeight="false" outlineLevel="0" collapsed="false">
      <c r="A172" s="3" t="n">
        <v>45300</v>
      </c>
      <c r="B172" s="3" t="n">
        <v>181027</v>
      </c>
      <c r="C172" s="18" t="n">
        <v>667</v>
      </c>
      <c r="D172" s="18" t="n">
        <v>667</v>
      </c>
      <c r="E172" s="19" t="n">
        <v>345.15555788695</v>
      </c>
      <c r="F172" s="19" t="n">
        <v>368.672011116634</v>
      </c>
      <c r="G172" s="12" t="n">
        <f aca="false">E172/Combined_Summary!$B$23</f>
        <v>1380.6222315478</v>
      </c>
      <c r="H172" s="12" t="n">
        <f aca="false">F172/Combined_Summary!$B$23</f>
        <v>1474.68804446654</v>
      </c>
      <c r="I172" s="12" t="n">
        <f aca="false">H172-G172</f>
        <v>94.0658129187361</v>
      </c>
      <c r="J172" s="13" t="n">
        <f aca="false">IF(G172=0,"",I172/G172)</f>
        <v>0.0681329119358595</v>
      </c>
    </row>
    <row r="173" customFormat="false" ht="15" hidden="false" customHeight="false" outlineLevel="0" collapsed="false">
      <c r="A173" s="3" t="n">
        <v>45301</v>
      </c>
      <c r="B173" s="3" t="n">
        <v>638842</v>
      </c>
      <c r="C173" s="18" t="n">
        <v>16</v>
      </c>
      <c r="D173" s="18" t="n">
        <v>16</v>
      </c>
      <c r="E173" s="19" t="n">
        <v>276.132197380066</v>
      </c>
      <c r="F173" s="19" t="n">
        <v>329.427317619324</v>
      </c>
      <c r="G173" s="12" t="n">
        <f aca="false">E173/Combined_Summary!$B$23</f>
        <v>1104.52878952026</v>
      </c>
      <c r="H173" s="12" t="n">
        <f aca="false">F173/Combined_Summary!$B$23</f>
        <v>1317.70927047729</v>
      </c>
      <c r="I173" s="12" t="n">
        <f aca="false">H173-G173</f>
        <v>213.180480957031</v>
      </c>
      <c r="J173" s="13" t="n">
        <f aca="false">IF(G173=0,"",I173/G173)</f>
        <v>0.193005816579596</v>
      </c>
    </row>
    <row r="174" customFormat="false" ht="15" hidden="false" customHeight="false" outlineLevel="0" collapsed="false">
      <c r="A174" s="3" t="n">
        <v>45315</v>
      </c>
      <c r="B174" s="3" t="n">
        <v>635444</v>
      </c>
      <c r="C174" s="18" t="n">
        <v>16</v>
      </c>
      <c r="D174" s="18" t="n">
        <v>16</v>
      </c>
      <c r="E174" s="19" t="n">
        <v>347.902729034424</v>
      </c>
      <c r="F174" s="19" t="n">
        <v>402.354583740234</v>
      </c>
      <c r="G174" s="12" t="n">
        <f aca="false">E174/Combined_Summary!$B$23</f>
        <v>1391.6109161377</v>
      </c>
      <c r="H174" s="12" t="n">
        <f aca="false">F174/Combined_Summary!$B$23</f>
        <v>1609.41833496094</v>
      </c>
      <c r="I174" s="12" t="n">
        <f aca="false">H174-G174</f>
        <v>217.807418823242</v>
      </c>
      <c r="J174" s="13" t="n">
        <f aca="false">IF(G174=0,"",I174/G174)</f>
        <v>0.156514594918348</v>
      </c>
    </row>
    <row r="175" customFormat="false" ht="15" hidden="false" customHeight="false" outlineLevel="0" collapsed="false">
      <c r="A175" s="3" t="n">
        <v>45316</v>
      </c>
      <c r="B175" s="3" t="n">
        <v>187765</v>
      </c>
      <c r="C175" s="18" t="n">
        <v>438</v>
      </c>
      <c r="D175" s="18" t="n">
        <v>438</v>
      </c>
      <c r="E175" s="19" t="n">
        <v>340.647141722239</v>
      </c>
      <c r="F175" s="19" t="n">
        <v>373.433449035366</v>
      </c>
      <c r="G175" s="12" t="n">
        <f aca="false">E175/Combined_Summary!$B$23</f>
        <v>1362.58856688896</v>
      </c>
      <c r="H175" s="12" t="n">
        <f aca="false">F175/Combined_Summary!$B$23</f>
        <v>1493.73379614146</v>
      </c>
      <c r="I175" s="12" t="n">
        <f aca="false">H175-G175</f>
        <v>131.145229252506</v>
      </c>
      <c r="J175" s="13" t="n">
        <f aca="false">IF(G175=0,"",I175/G175)</f>
        <v>0.0962471228948698</v>
      </c>
    </row>
    <row r="176" customFormat="false" ht="15" hidden="false" customHeight="false" outlineLevel="0" collapsed="false">
      <c r="A176" s="3" t="n">
        <v>45317</v>
      </c>
      <c r="B176" s="3" t="n">
        <v>187793</v>
      </c>
      <c r="C176" s="18" t="n">
        <v>262</v>
      </c>
      <c r="D176" s="18" t="n">
        <v>262</v>
      </c>
      <c r="E176" s="19" t="n">
        <v>341.686935599524</v>
      </c>
      <c r="F176" s="19" t="n">
        <v>359.513981593474</v>
      </c>
      <c r="G176" s="12" t="n">
        <f aca="false">E176/Combined_Summary!$B$23</f>
        <v>1366.74774239809</v>
      </c>
      <c r="H176" s="12" t="n">
        <f aca="false">F176/Combined_Summary!$B$23</f>
        <v>1438.0559263739</v>
      </c>
      <c r="I176" s="12" t="n">
        <f aca="false">H176-G176</f>
        <v>71.3081839758024</v>
      </c>
      <c r="J176" s="13" t="n">
        <f aca="false">IF(G176=0,"",I176/G176)</f>
        <v>0.052173624849517</v>
      </c>
    </row>
    <row r="177" customFormat="false" ht="15" hidden="false" customHeight="false" outlineLevel="0" collapsed="false">
      <c r="A177" s="3" t="n">
        <v>45330</v>
      </c>
      <c r="B177" s="3" t="n">
        <v>181014</v>
      </c>
      <c r="C177" s="18" t="n">
        <v>737</v>
      </c>
      <c r="D177" s="18" t="n">
        <v>737</v>
      </c>
      <c r="E177" s="19" t="n">
        <v>320.354227342955</v>
      </c>
      <c r="F177" s="19" t="n">
        <v>353.277686782899</v>
      </c>
      <c r="G177" s="12" t="n">
        <f aca="false">E177/Combined_Summary!$B$23</f>
        <v>1281.41690937182</v>
      </c>
      <c r="H177" s="12" t="n">
        <f aca="false">F177/Combined_Summary!$B$23</f>
        <v>1413.1107471316</v>
      </c>
      <c r="I177" s="12" t="n">
        <f aca="false">H177-G177</f>
        <v>131.693837759776</v>
      </c>
      <c r="J177" s="13" t="n">
        <f aca="false">IF(G177=0,"",I177/G177)</f>
        <v>0.102772046159696</v>
      </c>
    </row>
    <row r="178" customFormat="false" ht="15" hidden="false" customHeight="false" outlineLevel="0" collapsed="false">
      <c r="A178" s="3" t="n">
        <v>45331</v>
      </c>
      <c r="B178" s="3" t="n">
        <v>635443</v>
      </c>
      <c r="C178" s="18" t="n">
        <v>16</v>
      </c>
      <c r="D178" s="18" t="n">
        <v>16</v>
      </c>
      <c r="E178" s="19" t="n">
        <v>262.794690132141</v>
      </c>
      <c r="F178" s="19" t="n">
        <v>342.782211303711</v>
      </c>
      <c r="G178" s="12" t="n">
        <f aca="false">E178/Combined_Summary!$B$23</f>
        <v>1051.17876052856</v>
      </c>
      <c r="H178" s="12" t="n">
        <f aca="false">F178/Combined_Summary!$B$23</f>
        <v>1371.12884521484</v>
      </c>
      <c r="I178" s="12" t="n">
        <f aca="false">H178-G178</f>
        <v>319.950084686279</v>
      </c>
      <c r="J178" s="13" t="n">
        <f aca="false">IF(G178=0,"",I178/G178)</f>
        <v>0.304372668760353</v>
      </c>
    </row>
    <row r="179" customFormat="false" ht="15" hidden="false" customHeight="false" outlineLevel="0" collapsed="false">
      <c r="A179" s="3" t="n">
        <v>45332</v>
      </c>
      <c r="B179" s="3" t="n">
        <v>598078</v>
      </c>
      <c r="C179" s="18" t="n">
        <v>16</v>
      </c>
      <c r="D179" s="18" t="n">
        <v>16</v>
      </c>
      <c r="E179" s="19" t="n">
        <v>355.848557472229</v>
      </c>
      <c r="F179" s="19" t="n">
        <v>389.780117034912</v>
      </c>
      <c r="G179" s="12" t="n">
        <f aca="false">E179/Combined_Summary!$B$23</f>
        <v>1423.39422988892</v>
      </c>
      <c r="H179" s="12" t="n">
        <f aca="false">F179/Combined_Summary!$B$23</f>
        <v>1559.12046813965</v>
      </c>
      <c r="I179" s="12" t="n">
        <f aca="false">H179-G179</f>
        <v>135.726238250732</v>
      </c>
      <c r="J179" s="13" t="n">
        <f aca="false">IF(G179=0,"",I179/G179)</f>
        <v>0.0953539331554862</v>
      </c>
    </row>
    <row r="180" customFormat="false" ht="15" hidden="false" customHeight="false" outlineLevel="0" collapsed="false">
      <c r="A180" s="3" t="n">
        <v>45345</v>
      </c>
      <c r="B180" s="3" t="n">
        <v>182477</v>
      </c>
      <c r="C180" s="18" t="n">
        <v>933</v>
      </c>
      <c r="D180" s="18" t="n">
        <v>933</v>
      </c>
      <c r="E180" s="19" t="n">
        <v>345.774191280909</v>
      </c>
      <c r="F180" s="19" t="n">
        <v>371.880902060359</v>
      </c>
      <c r="G180" s="12" t="n">
        <f aca="false">E180/Combined_Summary!$B$23</f>
        <v>1383.09676512364</v>
      </c>
      <c r="H180" s="12" t="n">
        <f aca="false">F180/Combined_Summary!$B$23</f>
        <v>1487.52360824143</v>
      </c>
      <c r="I180" s="12" t="n">
        <f aca="false">H180-G180</f>
        <v>104.426843117799</v>
      </c>
      <c r="J180" s="13" t="n">
        <f aca="false">IF(G180=0,"",I180/G180)</f>
        <v>0.0755021960509496</v>
      </c>
    </row>
    <row r="181" customFormat="false" ht="15" hidden="false" customHeight="false" outlineLevel="0" collapsed="false">
      <c r="A181" s="3" t="n">
        <v>45346</v>
      </c>
      <c r="B181" s="3" t="n">
        <v>181032</v>
      </c>
      <c r="C181" s="18" t="n">
        <v>568</v>
      </c>
      <c r="D181" s="18" t="n">
        <v>568</v>
      </c>
      <c r="E181" s="19" t="n">
        <v>367.132691087857</v>
      </c>
      <c r="F181" s="19" t="n">
        <v>393.978962454997</v>
      </c>
      <c r="G181" s="12" t="n">
        <f aca="false">E181/Combined_Summary!$B$23</f>
        <v>1468.53076435143</v>
      </c>
      <c r="H181" s="12" t="n">
        <f aca="false">F181/Combined_Summary!$B$23</f>
        <v>1575.91584981999</v>
      </c>
      <c r="I181" s="12" t="n">
        <f aca="false">H181-G181</f>
        <v>107.385085468561</v>
      </c>
      <c r="J181" s="13" t="n">
        <f aca="false">IF(G181=0,"",I181/G181)</f>
        <v>0.0731241646925845</v>
      </c>
    </row>
    <row r="182" customFormat="false" ht="15" hidden="false" customHeight="false" outlineLevel="0" collapsed="false">
      <c r="A182" s="3" t="n">
        <v>45347</v>
      </c>
      <c r="B182" s="3" t="n">
        <v>182392</v>
      </c>
      <c r="C182" s="18" t="n">
        <v>812</v>
      </c>
      <c r="D182" s="18" t="n">
        <v>812</v>
      </c>
      <c r="E182" s="19" t="n">
        <v>376.431014864316</v>
      </c>
      <c r="F182" s="19" t="n">
        <v>403.582804299341</v>
      </c>
      <c r="G182" s="12" t="n">
        <f aca="false">E182/Combined_Summary!$B$23</f>
        <v>1505.72405945726</v>
      </c>
      <c r="H182" s="12" t="n">
        <f aca="false">F182/Combined_Summary!$B$23</f>
        <v>1614.33121719736</v>
      </c>
      <c r="I182" s="12" t="n">
        <f aca="false">H182-G182</f>
        <v>108.6071577401</v>
      </c>
      <c r="J182" s="13" t="n">
        <f aca="false">IF(G182=0,"",I182/G182)</f>
        <v>0.0721295227089929</v>
      </c>
    </row>
    <row r="183" customFormat="false" ht="15" hidden="false" customHeight="false" outlineLevel="0" collapsed="false">
      <c r="A183" s="3" t="n">
        <v>45348</v>
      </c>
      <c r="B183" s="3" t="n">
        <v>187756</v>
      </c>
      <c r="C183" s="18" t="n">
        <v>762</v>
      </c>
      <c r="D183" s="18" t="n">
        <v>762</v>
      </c>
      <c r="E183" s="19" t="n">
        <v>326.550840973541</v>
      </c>
      <c r="F183" s="19" t="n">
        <v>362.951357273292</v>
      </c>
      <c r="G183" s="12" t="n">
        <f aca="false">E183/Combined_Summary!$B$23</f>
        <v>1306.20336389416</v>
      </c>
      <c r="H183" s="12" t="n">
        <f aca="false">F183/Combined_Summary!$B$23</f>
        <v>1451.80542909317</v>
      </c>
      <c r="I183" s="12" t="n">
        <f aca="false">H183-G183</f>
        <v>145.602065199003</v>
      </c>
      <c r="J183" s="13" t="n">
        <f aca="false">IF(G183=0,"",I183/G183)</f>
        <v>0.111469675567916</v>
      </c>
    </row>
    <row r="184" customFormat="false" ht="15" hidden="false" customHeight="false" outlineLevel="0" collapsed="false">
      <c r="A184" s="3" t="n">
        <v>45349</v>
      </c>
      <c r="B184" s="3" t="n">
        <v>187774</v>
      </c>
      <c r="C184" s="18" t="n">
        <v>426</v>
      </c>
      <c r="D184" s="18" t="n">
        <v>426</v>
      </c>
      <c r="E184" s="19" t="n">
        <v>372.105906670082</v>
      </c>
      <c r="F184" s="19" t="n">
        <v>401.552178002299</v>
      </c>
      <c r="G184" s="12" t="n">
        <f aca="false">E184/Combined_Summary!$B$23</f>
        <v>1488.42362668033</v>
      </c>
      <c r="H184" s="12" t="n">
        <f aca="false">F184/Combined_Summary!$B$23</f>
        <v>1606.2087120092</v>
      </c>
      <c r="I184" s="12" t="n">
        <f aca="false">H184-G184</f>
        <v>117.785085328868</v>
      </c>
      <c r="J184" s="13" t="n">
        <f aca="false">IF(G184=0,"",I184/G184)</f>
        <v>0.0791341142518459</v>
      </c>
    </row>
    <row r="185" customFormat="false" ht="15" hidden="false" customHeight="false" outlineLevel="0" collapsed="false">
      <c r="A185" s="3" t="n">
        <v>45371</v>
      </c>
      <c r="B185" s="3" t="n">
        <v>181002</v>
      </c>
      <c r="C185" s="18" t="n">
        <v>197</v>
      </c>
      <c r="D185" s="18" t="n">
        <v>197</v>
      </c>
      <c r="E185" s="19" t="n">
        <v>244.706075755473</v>
      </c>
      <c r="F185" s="19" t="n">
        <v>291.985507713357</v>
      </c>
      <c r="G185" s="12" t="n">
        <f aca="false">E185/Combined_Summary!$B$23</f>
        <v>978.824303021891</v>
      </c>
      <c r="H185" s="12" t="n">
        <f aca="false">F185/Combined_Summary!$B$23</f>
        <v>1167.94203085343</v>
      </c>
      <c r="I185" s="12" t="n">
        <f aca="false">H185-G185</f>
        <v>189.117727831536</v>
      </c>
      <c r="J185" s="13" t="n">
        <f aca="false">IF(G185=0,"",I185/G185)</f>
        <v>0.193209064433401</v>
      </c>
    </row>
    <row r="186" customFormat="false" ht="15" hidden="false" customHeight="false" outlineLevel="0" collapsed="false">
      <c r="A186" s="3" t="n">
        <v>45372</v>
      </c>
      <c r="B186" s="3" t="n">
        <v>182479</v>
      </c>
      <c r="C186" s="18" t="n">
        <v>637</v>
      </c>
      <c r="D186" s="18" t="n">
        <v>637</v>
      </c>
      <c r="E186" s="19" t="n">
        <v>333.654828609065</v>
      </c>
      <c r="F186" s="19" t="n">
        <v>365.251700336929</v>
      </c>
      <c r="G186" s="12" t="n">
        <f aca="false">E186/Combined_Summary!$B$23</f>
        <v>1334.61931443626</v>
      </c>
      <c r="H186" s="12" t="n">
        <f aca="false">F186/Combined_Summary!$B$23</f>
        <v>1461.00680134772</v>
      </c>
      <c r="I186" s="12" t="n">
        <f aca="false">H186-G186</f>
        <v>126.387486911456</v>
      </c>
      <c r="J186" s="13" t="n">
        <f aca="false">IF(G186=0,"",I186/G186)</f>
        <v>0.0946992790710825</v>
      </c>
    </row>
    <row r="187" customFormat="false" ht="15" hidden="false" customHeight="false" outlineLevel="0" collapsed="false">
      <c r="A187" s="3" t="n">
        <v>45373</v>
      </c>
      <c r="B187" s="3" t="n">
        <v>182438</v>
      </c>
      <c r="C187" s="18" t="n">
        <v>622</v>
      </c>
      <c r="D187" s="18" t="n">
        <v>622</v>
      </c>
      <c r="E187" s="19" t="n">
        <v>319.406147113567</v>
      </c>
      <c r="F187" s="19" t="n">
        <v>349.77414404081</v>
      </c>
      <c r="G187" s="12" t="n">
        <f aca="false">E187/Combined_Summary!$B$23</f>
        <v>1277.62458845427</v>
      </c>
      <c r="H187" s="12" t="n">
        <f aca="false">F187/Combined_Summary!$B$23</f>
        <v>1399.09657616324</v>
      </c>
      <c r="I187" s="12" t="n">
        <f aca="false">H187-G187</f>
        <v>121.471987708972</v>
      </c>
      <c r="J187" s="13" t="n">
        <f aca="false">IF(G187=0,"",I187/G187)</f>
        <v>0.0950764323156418</v>
      </c>
    </row>
    <row r="188" customFormat="false" ht="15" hidden="false" customHeight="false" outlineLevel="0" collapsed="false">
      <c r="A188" s="3" t="n">
        <v>45374</v>
      </c>
      <c r="B188" s="3" t="n">
        <v>182395</v>
      </c>
      <c r="C188" s="18" t="n">
        <v>715</v>
      </c>
      <c r="D188" s="18" t="n">
        <v>715</v>
      </c>
      <c r="E188" s="19" t="n">
        <v>352.349746074543</v>
      </c>
      <c r="F188" s="19" t="n">
        <v>380.296043513371</v>
      </c>
      <c r="G188" s="12" t="n">
        <f aca="false">E188/Combined_Summary!$B$23</f>
        <v>1409.39898429817</v>
      </c>
      <c r="H188" s="12" t="n">
        <f aca="false">F188/Combined_Summary!$B$23</f>
        <v>1521.18417405349</v>
      </c>
      <c r="I188" s="12" t="n">
        <f aca="false">H188-G188</f>
        <v>111.785189755313</v>
      </c>
      <c r="J188" s="13" t="n">
        <f aca="false">IF(G188=0,"",I188/G188)</f>
        <v>0.0793140842307177</v>
      </c>
    </row>
    <row r="189" customFormat="false" ht="15" hidden="false" customHeight="false" outlineLevel="0" collapsed="false">
      <c r="A189" s="3" t="n">
        <v>45375</v>
      </c>
      <c r="B189" s="3" t="n">
        <v>635446</v>
      </c>
      <c r="C189" s="18" t="n">
        <v>16</v>
      </c>
      <c r="D189" s="18" t="n">
        <v>16</v>
      </c>
      <c r="E189" s="19" t="n">
        <v>329.954301834106</v>
      </c>
      <c r="F189" s="19" t="n">
        <v>348.275850296021</v>
      </c>
      <c r="G189" s="12" t="n">
        <f aca="false">E189/Combined_Summary!$B$23</f>
        <v>1319.81720733643</v>
      </c>
      <c r="H189" s="12" t="n">
        <f aca="false">F189/Combined_Summary!$B$23</f>
        <v>1393.10340118408</v>
      </c>
      <c r="I189" s="12" t="n">
        <f aca="false">H189-G189</f>
        <v>73.2861938476565</v>
      </c>
      <c r="J189" s="13" t="n">
        <f aca="false">IF(G189=0,"",I189/G189)</f>
        <v>0.0555275332373929</v>
      </c>
    </row>
    <row r="190" customFormat="false" ht="15" hidden="false" customHeight="false" outlineLevel="0" collapsed="false">
      <c r="A190" s="3" t="n">
        <v>45387</v>
      </c>
      <c r="B190" s="3" t="n">
        <v>181011</v>
      </c>
      <c r="C190" s="18" t="n">
        <v>595</v>
      </c>
      <c r="D190" s="18" t="n">
        <v>595</v>
      </c>
      <c r="E190" s="19" t="n">
        <v>334.109766003264</v>
      </c>
      <c r="F190" s="19" t="n">
        <v>362.048215901351</v>
      </c>
      <c r="G190" s="12" t="n">
        <f aca="false">E190/Combined_Summary!$B$23</f>
        <v>1336.43906401306</v>
      </c>
      <c r="H190" s="12" t="n">
        <f aca="false">F190/Combined_Summary!$B$23</f>
        <v>1448.1928636054</v>
      </c>
      <c r="I190" s="12" t="n">
        <f aca="false">H190-G190</f>
        <v>111.753799592347</v>
      </c>
      <c r="J190" s="13" t="n">
        <f aca="false">IF(G190=0,"",I190/G190)</f>
        <v>0.0836205724612484</v>
      </c>
    </row>
    <row r="191" customFormat="false" ht="15" hidden="false" customHeight="false" outlineLevel="0" collapsed="false">
      <c r="A191" s="3" t="n">
        <v>45388</v>
      </c>
      <c r="B191" s="3" t="n">
        <v>182506</v>
      </c>
      <c r="C191" s="18" t="n">
        <v>878</v>
      </c>
      <c r="D191" s="18" t="n">
        <v>878</v>
      </c>
      <c r="E191" s="19" t="n">
        <v>328.245198712534</v>
      </c>
      <c r="F191" s="19" t="n">
        <v>354.060356661508</v>
      </c>
      <c r="G191" s="12" t="n">
        <f aca="false">E191/Combined_Summary!$B$23</f>
        <v>1312.98079485013</v>
      </c>
      <c r="H191" s="12" t="n">
        <f aca="false">F191/Combined_Summary!$B$23</f>
        <v>1416.24142664603</v>
      </c>
      <c r="I191" s="12" t="n">
        <f aca="false">H191-G191</f>
        <v>103.260631795896</v>
      </c>
      <c r="J191" s="13" t="n">
        <f aca="false">IF(G191=0,"",I191/G191)</f>
        <v>0.0786459575044146</v>
      </c>
    </row>
    <row r="192" customFormat="false" ht="15" hidden="false" customHeight="false" outlineLevel="0" collapsed="false">
      <c r="A192" s="3" t="n">
        <v>45389</v>
      </c>
      <c r="B192" s="3" t="n">
        <v>61533</v>
      </c>
      <c r="C192" s="18" t="n">
        <v>835</v>
      </c>
      <c r="D192" s="18" t="n">
        <v>835</v>
      </c>
      <c r="E192" s="19" t="n">
        <v>349.806247222352</v>
      </c>
      <c r="F192" s="19" t="n">
        <v>379.622220159291</v>
      </c>
      <c r="G192" s="12" t="n">
        <f aca="false">E192/Combined_Summary!$B$23</f>
        <v>1399.22498888941</v>
      </c>
      <c r="H192" s="12" t="n">
        <f aca="false">F192/Combined_Summary!$B$23</f>
        <v>1518.48888063716</v>
      </c>
      <c r="I192" s="12" t="n">
        <f aca="false">H192-G192</f>
        <v>119.263891747754</v>
      </c>
      <c r="J192" s="13" t="n">
        <f aca="false">IF(G192=0,"",I192/G192)</f>
        <v>0.0852356788184696</v>
      </c>
    </row>
    <row r="193" customFormat="false" ht="15" hidden="false" customHeight="false" outlineLevel="0" collapsed="false">
      <c r="A193" s="3" t="n">
        <v>45405</v>
      </c>
      <c r="B193" s="3" t="n">
        <v>635449</v>
      </c>
      <c r="C193" s="18" t="n">
        <v>16</v>
      </c>
      <c r="D193" s="18" t="n">
        <v>16</v>
      </c>
      <c r="E193" s="19" t="n">
        <v>321.852515220642</v>
      </c>
      <c r="F193" s="19" t="n">
        <v>363.558843612671</v>
      </c>
      <c r="G193" s="12" t="n">
        <f aca="false">E193/Combined_Summary!$B$23</f>
        <v>1287.41006088257</v>
      </c>
      <c r="H193" s="12" t="n">
        <f aca="false">F193/Combined_Summary!$B$23</f>
        <v>1454.23537445068</v>
      </c>
      <c r="I193" s="12" t="n">
        <f aca="false">H193-G193</f>
        <v>166.825313568115</v>
      </c>
      <c r="J193" s="13" t="n">
        <f aca="false">IF(G193=0,"",I193/G193)</f>
        <v>0.129582111121417</v>
      </c>
    </row>
    <row r="194" customFormat="false" ht="15" hidden="false" customHeight="false" outlineLevel="0" collapsed="false">
      <c r="A194" s="3" t="n">
        <v>45406</v>
      </c>
      <c r="B194" s="3" t="n">
        <v>182419</v>
      </c>
      <c r="C194" s="18" t="n">
        <v>979</v>
      </c>
      <c r="D194" s="18" t="n">
        <v>979</v>
      </c>
      <c r="E194" s="19" t="n">
        <v>296.296694193481</v>
      </c>
      <c r="F194" s="19" t="n">
        <v>335.023815774577</v>
      </c>
      <c r="G194" s="12" t="n">
        <f aca="false">E194/Combined_Summary!$B$23</f>
        <v>1185.18677677392</v>
      </c>
      <c r="H194" s="12" t="n">
        <f aca="false">F194/Combined_Summary!$B$23</f>
        <v>1340.09526309831</v>
      </c>
      <c r="I194" s="12" t="n">
        <f aca="false">H194-G194</f>
        <v>154.908486324384</v>
      </c>
      <c r="J194" s="13" t="n">
        <f aca="false">IF(G194=0,"",I194/G194)</f>
        <v>0.130703859813594</v>
      </c>
    </row>
    <row r="195" customFormat="false" ht="15" hidden="false" customHeight="false" outlineLevel="0" collapsed="false">
      <c r="A195" s="3" t="n">
        <v>45407</v>
      </c>
      <c r="B195" s="3" t="n">
        <v>187772</v>
      </c>
      <c r="C195" s="18" t="n">
        <v>912</v>
      </c>
      <c r="D195" s="18" t="n">
        <v>912</v>
      </c>
      <c r="E195" s="19" t="n">
        <v>344.219557590652</v>
      </c>
      <c r="F195" s="19" t="n">
        <v>374.249880665227</v>
      </c>
      <c r="G195" s="12" t="n">
        <f aca="false">E195/Combined_Summary!$B$23</f>
        <v>1376.87823036261</v>
      </c>
      <c r="H195" s="12" t="n">
        <f aca="false">F195/Combined_Summary!$B$23</f>
        <v>1496.99952266091</v>
      </c>
      <c r="I195" s="12" t="n">
        <f aca="false">H195-G195</f>
        <v>120.1212922983</v>
      </c>
      <c r="J195" s="13" t="n">
        <f aca="false">IF(G195=0,"",I195/G195)</f>
        <v>0.0872417688430341</v>
      </c>
    </row>
    <row r="196" customFormat="false" ht="15" hidden="false" customHeight="false" outlineLevel="0" collapsed="false">
      <c r="A196" s="3" t="n">
        <v>45419</v>
      </c>
      <c r="B196" s="3" t="n">
        <v>181008</v>
      </c>
      <c r="C196" s="18" t="n">
        <v>600</v>
      </c>
      <c r="D196" s="18" t="n">
        <v>600</v>
      </c>
      <c r="E196" s="19" t="n">
        <v>351.198675314585</v>
      </c>
      <c r="F196" s="19" t="n">
        <v>378.54442952474</v>
      </c>
      <c r="G196" s="12" t="n">
        <f aca="false">E196/Combined_Summary!$B$23</f>
        <v>1404.79470125834</v>
      </c>
      <c r="H196" s="12" t="n">
        <f aca="false">F196/Combined_Summary!$B$23</f>
        <v>1514.17771809896</v>
      </c>
      <c r="I196" s="12" t="n">
        <f aca="false">H196-G196</f>
        <v>109.383016840617</v>
      </c>
      <c r="J196" s="13" t="n">
        <f aca="false">IF(G196=0,"",I196/G196)</f>
        <v>0.077864058529433</v>
      </c>
    </row>
    <row r="197" customFormat="false" ht="15" hidden="false" customHeight="false" outlineLevel="0" collapsed="false">
      <c r="A197" s="3" t="n">
        <v>45420</v>
      </c>
      <c r="B197" s="3" t="n">
        <v>182399</v>
      </c>
      <c r="C197" s="18" t="n">
        <v>544</v>
      </c>
      <c r="D197" s="18" t="n">
        <v>544</v>
      </c>
      <c r="E197" s="19" t="n">
        <v>336.330969529993</v>
      </c>
      <c r="F197" s="19" t="n">
        <v>367.938154781566</v>
      </c>
      <c r="G197" s="12" t="n">
        <f aca="false">E197/Combined_Summary!$B$23</f>
        <v>1345.32387811997</v>
      </c>
      <c r="H197" s="12" t="n">
        <f aca="false">F197/Combined_Summary!$B$23</f>
        <v>1471.75261912626</v>
      </c>
      <c r="I197" s="12" t="n">
        <f aca="false">H197-G197</f>
        <v>126.42874100629</v>
      </c>
      <c r="J197" s="13" t="n">
        <f aca="false">IF(G197=0,"",I197/G197)</f>
        <v>0.0939764342717002</v>
      </c>
    </row>
    <row r="198" customFormat="false" ht="15" hidden="false" customHeight="false" outlineLevel="0" collapsed="false">
      <c r="A198" s="3" t="n">
        <v>45421</v>
      </c>
      <c r="B198" s="3" t="n">
        <v>182409</v>
      </c>
      <c r="C198" s="18" t="n">
        <v>619</v>
      </c>
      <c r="D198" s="18" t="n">
        <v>619</v>
      </c>
      <c r="E198" s="19" t="n">
        <v>352.384430295239</v>
      </c>
      <c r="F198" s="19" t="n">
        <v>378.474624165426</v>
      </c>
      <c r="G198" s="12" t="n">
        <f aca="false">E198/Combined_Summary!$B$23</f>
        <v>1409.53772118095</v>
      </c>
      <c r="H198" s="12" t="n">
        <f aca="false">F198/Combined_Summary!$B$23</f>
        <v>1513.8984966617</v>
      </c>
      <c r="I198" s="12" t="n">
        <f aca="false">H198-G198</f>
        <v>104.360775480748</v>
      </c>
      <c r="J198" s="13" t="n">
        <f aca="false">IF(G198=0,"",I198/G198)</f>
        <v>0.0740390086143359</v>
      </c>
    </row>
    <row r="199" customFormat="false" ht="15" hidden="false" customHeight="false" outlineLevel="0" collapsed="false">
      <c r="A199" s="3" t="n">
        <v>45431</v>
      </c>
      <c r="B199" s="3" t="n">
        <v>180993</v>
      </c>
      <c r="C199" s="18" t="n">
        <v>561</v>
      </c>
      <c r="D199" s="18" t="n">
        <v>561</v>
      </c>
      <c r="E199" s="19" t="n">
        <v>324.515573164996</v>
      </c>
      <c r="F199" s="19" t="n">
        <v>347.971464677291</v>
      </c>
      <c r="G199" s="12" t="n">
        <f aca="false">E199/Combined_Summary!$B$23</f>
        <v>1298.06229265998</v>
      </c>
      <c r="H199" s="12" t="n">
        <f aca="false">F199/Combined_Summary!$B$23</f>
        <v>1391.88585870916</v>
      </c>
      <c r="I199" s="12" t="n">
        <f aca="false">H199-G199</f>
        <v>93.823566049178</v>
      </c>
      <c r="J199" s="13" t="n">
        <f aca="false">IF(G199=0,"",I199/G199)</f>
        <v>0.0722797099798001</v>
      </c>
    </row>
    <row r="200" customFormat="false" ht="15" hidden="false" customHeight="false" outlineLevel="0" collapsed="false">
      <c r="A200" s="3" t="n">
        <v>45432</v>
      </c>
      <c r="B200" s="3" t="n">
        <v>182502</v>
      </c>
      <c r="C200" s="18" t="n">
        <v>582</v>
      </c>
      <c r="D200" s="18" t="n">
        <v>582</v>
      </c>
      <c r="E200" s="19" t="n">
        <v>359.097661401808</v>
      </c>
      <c r="F200" s="19" t="n">
        <v>391.425669483303</v>
      </c>
      <c r="G200" s="12" t="n">
        <f aca="false">E200/Combined_Summary!$B$23</f>
        <v>1436.39064560723</v>
      </c>
      <c r="H200" s="12" t="n">
        <f aca="false">F200/Combined_Summary!$B$23</f>
        <v>1565.70267793321</v>
      </c>
      <c r="I200" s="12" t="n">
        <f aca="false">H200-G200</f>
        <v>129.31203232598</v>
      </c>
      <c r="J200" s="13" t="n">
        <f aca="false">IF(G200=0,"",I200/G200)</f>
        <v>0.0900256714435187</v>
      </c>
    </row>
    <row r="201" customFormat="false" ht="15" hidden="false" customHeight="false" outlineLevel="0" collapsed="false">
      <c r="A201" s="3" t="n">
        <v>45450</v>
      </c>
      <c r="B201" s="3" t="n">
        <v>182430</v>
      </c>
      <c r="C201" s="18" t="n">
        <v>501</v>
      </c>
      <c r="D201" s="18" t="n">
        <v>501</v>
      </c>
      <c r="E201" s="19" t="n">
        <v>284.386468030735</v>
      </c>
      <c r="F201" s="19" t="n">
        <v>320.588245262405</v>
      </c>
      <c r="G201" s="12" t="n">
        <f aca="false">E201/Combined_Summary!$B$23</f>
        <v>1137.54587212294</v>
      </c>
      <c r="H201" s="12" t="n">
        <f aca="false">F201/Combined_Summary!$B$23</f>
        <v>1282.35298104962</v>
      </c>
      <c r="I201" s="12" t="n">
        <f aca="false">H201-G201</f>
        <v>144.807108926678</v>
      </c>
      <c r="J201" s="13" t="n">
        <f aca="false">IF(G201=0,"",I201/G201)</f>
        <v>0.127297819345458</v>
      </c>
    </row>
    <row r="202" customFormat="false" ht="15" hidden="false" customHeight="false" outlineLevel="0" collapsed="false">
      <c r="A202" s="3" t="n">
        <v>45451</v>
      </c>
      <c r="B202" s="3" t="n">
        <v>182439</v>
      </c>
      <c r="C202" s="18" t="n">
        <v>249</v>
      </c>
      <c r="D202" s="18" t="n">
        <v>249</v>
      </c>
      <c r="E202" s="19" t="n">
        <v>199.657781639252</v>
      </c>
      <c r="F202" s="19" t="n">
        <v>251.021931935506</v>
      </c>
      <c r="G202" s="12" t="n">
        <f aca="false">E202/Combined_Summary!$B$23</f>
        <v>798.631126557009</v>
      </c>
      <c r="H202" s="12" t="n">
        <f aca="false">F202/Combined_Summary!$B$23</f>
        <v>1004.08772774202</v>
      </c>
      <c r="I202" s="12" t="n">
        <f aca="false">H202-G202</f>
        <v>205.456601185014</v>
      </c>
      <c r="J202" s="13" t="n">
        <f aca="false">IF(G202=0,"",I202/G202)</f>
        <v>0.257260948581807</v>
      </c>
    </row>
    <row r="203" customFormat="false" ht="15" hidden="false" customHeight="false" outlineLevel="0" collapsed="false">
      <c r="A203" s="3" t="n">
        <v>47971</v>
      </c>
      <c r="B203" s="3" t="n">
        <v>187558</v>
      </c>
      <c r="C203" s="18" t="n">
        <v>41</v>
      </c>
      <c r="D203" s="18" t="n">
        <v>41</v>
      </c>
      <c r="E203" s="19" t="n">
        <v>356.073477396151</v>
      </c>
      <c r="F203" s="19" t="n">
        <v>405.318456510218</v>
      </c>
      <c r="G203" s="12" t="n">
        <f aca="false">E203/Combined_Summary!$B$23</f>
        <v>1424.2939095846</v>
      </c>
      <c r="H203" s="12" t="n">
        <f aca="false">F203/Combined_Summary!$B$23</f>
        <v>1621.27382604087</v>
      </c>
      <c r="I203" s="12" t="n">
        <f aca="false">H203-G203</f>
        <v>196.979916456269</v>
      </c>
      <c r="J203" s="13" t="n">
        <f aca="false">IF(G203=0,"",I203/G203)</f>
        <v>0.138300048277057</v>
      </c>
    </row>
    <row r="204" customFormat="false" ht="15" hidden="false" customHeight="false" outlineLevel="0" collapsed="false">
      <c r="A204" s="3" t="n">
        <v>47986</v>
      </c>
      <c r="B204" s="3" t="n">
        <v>187518</v>
      </c>
      <c r="C204" s="18" t="n">
        <v>350</v>
      </c>
      <c r="D204" s="18" t="n">
        <v>350</v>
      </c>
      <c r="E204" s="19" t="n">
        <v>319.738060477121</v>
      </c>
      <c r="F204" s="19" t="n">
        <v>347.63246030535</v>
      </c>
      <c r="G204" s="12" t="n">
        <f aca="false">E204/Combined_Summary!$B$23</f>
        <v>1278.95224190848</v>
      </c>
      <c r="H204" s="12" t="n">
        <f aca="false">F204/Combined_Summary!$B$23</f>
        <v>1390.5298412214</v>
      </c>
      <c r="I204" s="12" t="n">
        <f aca="false">H204-G204</f>
        <v>111.577599312919</v>
      </c>
      <c r="J204" s="13" t="n">
        <f aca="false">IF(G204=0,"",I204/G204)</f>
        <v>0.0872414118813539</v>
      </c>
    </row>
    <row r="205" customFormat="false" ht="15" hidden="false" customHeight="false" outlineLevel="0" collapsed="false">
      <c r="A205" s="3" t="n">
        <v>48001</v>
      </c>
      <c r="B205" s="3" t="n">
        <v>187499</v>
      </c>
      <c r="C205" s="18" t="n">
        <v>343</v>
      </c>
      <c r="D205" s="18" t="n">
        <v>343</v>
      </c>
      <c r="E205" s="19" t="n">
        <v>355.702619724997</v>
      </c>
      <c r="F205" s="19" t="n">
        <v>385.564157157876</v>
      </c>
      <c r="G205" s="12" t="n">
        <f aca="false">E205/Combined_Summary!$B$23</f>
        <v>1422.81047889999</v>
      </c>
      <c r="H205" s="12" t="n">
        <f aca="false">F205/Combined_Summary!$B$23</f>
        <v>1542.2566286315</v>
      </c>
      <c r="I205" s="12" t="n">
        <f aca="false">H205-G205</f>
        <v>119.446149731516</v>
      </c>
      <c r="J205" s="13" t="n">
        <f aca="false">IF(G205=0,"",I205/G205)</f>
        <v>0.0839508504490797</v>
      </c>
    </row>
    <row r="206" customFormat="false" ht="15" hidden="false" customHeight="false" outlineLevel="0" collapsed="false">
      <c r="A206" s="3" t="n">
        <v>48002</v>
      </c>
      <c r="B206" s="3" t="n">
        <v>187555</v>
      </c>
      <c r="C206" s="18" t="n">
        <v>230</v>
      </c>
      <c r="D206" s="18" t="n">
        <v>230</v>
      </c>
      <c r="E206" s="19" t="n">
        <v>368.986409212195</v>
      </c>
      <c r="F206" s="19" t="n">
        <v>402.563067162555</v>
      </c>
      <c r="G206" s="12" t="n">
        <f aca="false">E206/Combined_Summary!$B$23</f>
        <v>1475.94563684878</v>
      </c>
      <c r="H206" s="12" t="n">
        <f aca="false">F206/Combined_Summary!$B$23</f>
        <v>1610.25226865022</v>
      </c>
      <c r="I206" s="12" t="n">
        <f aca="false">H206-G206</f>
        <v>134.306631801439</v>
      </c>
      <c r="J206" s="13" t="n">
        <f aca="false">IF(G206=0,"",I206/G206)</f>
        <v>0.0909970045293747</v>
      </c>
    </row>
    <row r="207" customFormat="false" ht="15" hidden="false" customHeight="false" outlineLevel="0" collapsed="false">
      <c r="A207" s="3" t="n">
        <v>48003</v>
      </c>
      <c r="B207" s="3" t="n">
        <v>187615</v>
      </c>
      <c r="C207" s="18" t="n">
        <v>728</v>
      </c>
      <c r="D207" s="18" t="n">
        <v>728</v>
      </c>
      <c r="E207" s="19" t="n">
        <v>290.215093602191</v>
      </c>
      <c r="F207" s="19" t="n">
        <v>326.73173565917</v>
      </c>
      <c r="G207" s="12" t="n">
        <f aca="false">E207/Combined_Summary!$B$23</f>
        <v>1160.86037440876</v>
      </c>
      <c r="H207" s="12" t="n">
        <f aca="false">F207/Combined_Summary!$B$23</f>
        <v>1306.92694263668</v>
      </c>
      <c r="I207" s="12" t="n">
        <f aca="false">H207-G207</f>
        <v>146.066568227914</v>
      </c>
      <c r="J207" s="13" t="n">
        <f aca="false">IF(G207=0,"",I207/G207)</f>
        <v>0.125826129867089</v>
      </c>
    </row>
    <row r="208" customFormat="false" ht="15" hidden="false" customHeight="false" outlineLevel="0" collapsed="false">
      <c r="A208" s="3" t="n">
        <v>48022</v>
      </c>
      <c r="B208" s="3" t="n">
        <v>182279</v>
      </c>
      <c r="C208" s="18" t="n">
        <v>566</v>
      </c>
      <c r="D208" s="18" t="n">
        <v>566</v>
      </c>
      <c r="E208" s="19" t="n">
        <v>272.115689766281</v>
      </c>
      <c r="F208" s="19" t="n">
        <v>323.383591210463</v>
      </c>
      <c r="G208" s="12" t="n">
        <f aca="false">E208/Combined_Summary!$B$23</f>
        <v>1088.46275906512</v>
      </c>
      <c r="H208" s="12" t="n">
        <f aca="false">F208/Combined_Summary!$B$23</f>
        <v>1293.53436484185</v>
      </c>
      <c r="I208" s="12" t="n">
        <f aca="false">H208-G208</f>
        <v>205.07160577673</v>
      </c>
      <c r="J208" s="13" t="n">
        <f aca="false">IF(G208=0,"",I208/G208)</f>
        <v>0.188404797563185</v>
      </c>
    </row>
    <row r="209" customFormat="false" ht="15" hidden="false" customHeight="false" outlineLevel="0" collapsed="false">
      <c r="A209" s="3" t="n">
        <v>48023</v>
      </c>
      <c r="B209" s="3" t="n">
        <v>187528</v>
      </c>
      <c r="C209" s="18" t="n">
        <v>368</v>
      </c>
      <c r="D209" s="18" t="n">
        <v>368</v>
      </c>
      <c r="E209" s="19" t="n">
        <v>366.849887557652</v>
      </c>
      <c r="F209" s="19" t="n">
        <v>399.311144932457</v>
      </c>
      <c r="G209" s="12" t="n">
        <f aca="false">E209/Combined_Summary!$B$23</f>
        <v>1467.39955023061</v>
      </c>
      <c r="H209" s="12" t="n">
        <f aca="false">F209/Combined_Summary!$B$23</f>
        <v>1597.24457972983</v>
      </c>
      <c r="I209" s="12" t="n">
        <f aca="false">H209-G209</f>
        <v>129.84502949922</v>
      </c>
      <c r="J209" s="13" t="n">
        <f aca="false">IF(G209=0,"",I209/G209)</f>
        <v>0.0884864858237241</v>
      </c>
    </row>
    <row r="210" customFormat="false" ht="15" hidden="false" customHeight="false" outlineLevel="0" collapsed="false">
      <c r="A210" s="3" t="n">
        <v>48024</v>
      </c>
      <c r="B210" s="3" t="n">
        <v>187573</v>
      </c>
      <c r="C210" s="18" t="n">
        <v>569</v>
      </c>
      <c r="D210" s="18" t="n">
        <v>569</v>
      </c>
      <c r="E210" s="19" t="n">
        <v>333.973821991986</v>
      </c>
      <c r="F210" s="19" t="n">
        <v>374.02075702151</v>
      </c>
      <c r="G210" s="12" t="n">
        <f aca="false">E210/Combined_Summary!$B$23</f>
        <v>1335.89528796794</v>
      </c>
      <c r="H210" s="12" t="n">
        <f aca="false">F210/Combined_Summary!$B$23</f>
        <v>1496.08302808604</v>
      </c>
      <c r="I210" s="12" t="n">
        <f aca="false">H210-G210</f>
        <v>160.187740118097</v>
      </c>
      <c r="J210" s="13" t="n">
        <f aca="false">IF(G210=0,"",I210/G210)</f>
        <v>0.119910401332249</v>
      </c>
    </row>
    <row r="211" customFormat="false" ht="15" hidden="false" customHeight="false" outlineLevel="0" collapsed="false">
      <c r="A211" s="3" t="n">
        <v>48041</v>
      </c>
      <c r="B211" s="3" t="n">
        <v>182268</v>
      </c>
      <c r="C211" s="18" t="n">
        <v>14</v>
      </c>
      <c r="D211" s="18" t="n">
        <v>14</v>
      </c>
      <c r="E211" s="19" t="n">
        <v>257.160635811942</v>
      </c>
      <c r="F211" s="19" t="n">
        <v>277.942313058036</v>
      </c>
      <c r="G211" s="12" t="n">
        <f aca="false">E211/Combined_Summary!$B$23</f>
        <v>1028.64254324777</v>
      </c>
      <c r="H211" s="12" t="n">
        <f aca="false">F211/Combined_Summary!$B$23</f>
        <v>1111.76925223214</v>
      </c>
      <c r="I211" s="12" t="n">
        <f aca="false">H211-G211</f>
        <v>83.126708984375</v>
      </c>
      <c r="J211" s="13" t="n">
        <f aca="false">IF(G211=0,"",I211/G211)</f>
        <v>0.0808120464490184</v>
      </c>
    </row>
    <row r="212" customFormat="false" ht="15" hidden="false" customHeight="false" outlineLevel="0" collapsed="false">
      <c r="A212" s="3" t="n">
        <v>48042</v>
      </c>
      <c r="B212" s="3" t="n">
        <v>633726</v>
      </c>
      <c r="C212" s="18" t="n">
        <v>16</v>
      </c>
      <c r="D212" s="18" t="n">
        <v>16</v>
      </c>
      <c r="E212" s="19" t="n">
        <v>272.647465705872</v>
      </c>
      <c r="F212" s="19" t="n">
        <v>314.635593414307</v>
      </c>
      <c r="G212" s="12" t="n">
        <f aca="false">E212/Combined_Summary!$B$23</f>
        <v>1090.58986282349</v>
      </c>
      <c r="H212" s="12" t="n">
        <f aca="false">F212/Combined_Summary!$B$23</f>
        <v>1258.54237365723</v>
      </c>
      <c r="I212" s="12" t="n">
        <f aca="false">H212-G212</f>
        <v>167.95251083374</v>
      </c>
      <c r="J212" s="13" t="n">
        <f aca="false">IF(G212=0,"",I212/G212)</f>
        <v>0.154001533077631</v>
      </c>
    </row>
    <row r="213" customFormat="false" ht="15" hidden="false" customHeight="false" outlineLevel="0" collapsed="false">
      <c r="A213" s="3" t="n">
        <v>48043</v>
      </c>
      <c r="B213" s="3" t="n">
        <v>187560</v>
      </c>
      <c r="C213" s="18" t="n">
        <v>341</v>
      </c>
      <c r="D213" s="18" t="n">
        <v>341</v>
      </c>
      <c r="E213" s="19" t="n">
        <v>338.804936652309</v>
      </c>
      <c r="F213" s="19" t="n">
        <v>369.890100786763</v>
      </c>
      <c r="G213" s="12" t="n">
        <f aca="false">E213/Combined_Summary!$B$23</f>
        <v>1355.21974660924</v>
      </c>
      <c r="H213" s="12" t="n">
        <f aca="false">F213/Combined_Summary!$B$23</f>
        <v>1479.56040314705</v>
      </c>
      <c r="I213" s="12" t="n">
        <f aca="false">H213-G213</f>
        <v>124.340656537814</v>
      </c>
      <c r="J213" s="13" t="n">
        <f aca="false">IF(G213=0,"",I213/G213)</f>
        <v>0.0917494427371754</v>
      </c>
    </row>
    <row r="214" customFormat="false" ht="15" hidden="false" customHeight="false" outlineLevel="0" collapsed="false">
      <c r="A214" s="3" t="n">
        <v>48053</v>
      </c>
      <c r="B214" s="3" t="n">
        <v>182280</v>
      </c>
      <c r="C214" s="18" t="n">
        <v>444</v>
      </c>
      <c r="D214" s="18" t="n">
        <v>444</v>
      </c>
      <c r="E214" s="19" t="n">
        <v>344.100979847951</v>
      </c>
      <c r="F214" s="19" t="n">
        <v>365.683475992701</v>
      </c>
      <c r="G214" s="12" t="n">
        <f aca="false">E214/Combined_Summary!$B$23</f>
        <v>1376.4039193918</v>
      </c>
      <c r="H214" s="12" t="n">
        <f aca="false">F214/Combined_Summary!$B$23</f>
        <v>1462.7339039708</v>
      </c>
      <c r="I214" s="12" t="n">
        <f aca="false">H214-G214</f>
        <v>86.3299845790004</v>
      </c>
      <c r="J214" s="13" t="n">
        <f aca="false">IF(G214=0,"",I214/G214)</f>
        <v>0.0627214027530141</v>
      </c>
    </row>
    <row r="215" customFormat="false" ht="15" hidden="false" customHeight="false" outlineLevel="0" collapsed="false">
      <c r="A215" s="3" t="n">
        <v>48054</v>
      </c>
      <c r="B215" s="3" t="n">
        <v>182553</v>
      </c>
      <c r="C215" s="18" t="n">
        <v>396</v>
      </c>
      <c r="D215" s="18" t="n">
        <v>396</v>
      </c>
      <c r="E215" s="19" t="n">
        <v>350.599011488635</v>
      </c>
      <c r="F215" s="19" t="n">
        <v>373.014286657777</v>
      </c>
      <c r="G215" s="12" t="n">
        <f aca="false">E215/Combined_Summary!$B$23</f>
        <v>1402.39604595454</v>
      </c>
      <c r="H215" s="12" t="n">
        <f aca="false">F215/Combined_Summary!$B$23</f>
        <v>1492.05714663111</v>
      </c>
      <c r="I215" s="12" t="n">
        <f aca="false">H215-G215</f>
        <v>89.6611006765656</v>
      </c>
      <c r="J215" s="13" t="n">
        <f aca="false">IF(G215=0,"",I215/G215)</f>
        <v>0.0639342223868992</v>
      </c>
    </row>
    <row r="216" customFormat="false" ht="15" hidden="false" customHeight="false" outlineLevel="0" collapsed="false">
      <c r="A216" s="3" t="n">
        <v>48055</v>
      </c>
      <c r="B216" s="3" t="n">
        <v>187435</v>
      </c>
      <c r="C216" s="18" t="n">
        <v>602</v>
      </c>
      <c r="D216" s="18" t="n">
        <v>602</v>
      </c>
      <c r="E216" s="19" t="n">
        <v>379.777246709678</v>
      </c>
      <c r="F216" s="19" t="n">
        <v>413.143447102898</v>
      </c>
      <c r="G216" s="12" t="n">
        <f aca="false">E216/Combined_Summary!$B$23</f>
        <v>1519.10898683871</v>
      </c>
      <c r="H216" s="12" t="n">
        <f aca="false">F216/Combined_Summary!$B$23</f>
        <v>1652.57378841159</v>
      </c>
      <c r="I216" s="12" t="n">
        <f aca="false">H216-G216</f>
        <v>133.464801572882</v>
      </c>
      <c r="J216" s="13" t="n">
        <f aca="false">IF(G216=0,"",I216/G216)</f>
        <v>0.0878572918264569</v>
      </c>
    </row>
    <row r="217" customFormat="false" ht="15" hidden="false" customHeight="false" outlineLevel="0" collapsed="false">
      <c r="A217" s="3" t="n">
        <v>48056</v>
      </c>
      <c r="B217" s="3" t="n">
        <v>187440</v>
      </c>
      <c r="C217" s="18" t="n">
        <v>940</v>
      </c>
      <c r="D217" s="18" t="n">
        <v>940</v>
      </c>
      <c r="E217" s="19" t="n">
        <v>336.732548612229</v>
      </c>
      <c r="F217" s="19" t="n">
        <v>361.786546471778</v>
      </c>
      <c r="G217" s="12" t="n">
        <f aca="false">E217/Combined_Summary!$B$23</f>
        <v>1346.93019444892</v>
      </c>
      <c r="H217" s="12" t="n">
        <f aca="false">F217/Combined_Summary!$B$23</f>
        <v>1447.14618588711</v>
      </c>
      <c r="I217" s="12" t="n">
        <f aca="false">H217-G217</f>
        <v>100.215991438196</v>
      </c>
      <c r="J217" s="13" t="n">
        <f aca="false">IF(G217=0,"",I217/G217)</f>
        <v>0.0744032555296591</v>
      </c>
    </row>
    <row r="218" customFormat="false" ht="15" hidden="false" customHeight="false" outlineLevel="0" collapsed="false">
      <c r="A218" s="3" t="n">
        <v>48057</v>
      </c>
      <c r="B218" s="3" t="n">
        <v>182448</v>
      </c>
      <c r="C218" s="18" t="n">
        <v>401</v>
      </c>
      <c r="D218" s="18" t="n">
        <v>401</v>
      </c>
      <c r="E218" s="19" t="n">
        <v>221.075165156414</v>
      </c>
      <c r="F218" s="19" t="n">
        <v>273.553152165211</v>
      </c>
      <c r="G218" s="12" t="n">
        <f aca="false">E218/Combined_Summary!$B$23</f>
        <v>884.300660625658</v>
      </c>
      <c r="H218" s="12" t="n">
        <f aca="false">F218/Combined_Summary!$B$23</f>
        <v>1094.21260866084</v>
      </c>
      <c r="I218" s="12" t="n">
        <f aca="false">H218-G218</f>
        <v>209.911948035185</v>
      </c>
      <c r="J218" s="13" t="n">
        <f aca="false">IF(G218=0,"",I218/G218)</f>
        <v>0.237376219855664</v>
      </c>
    </row>
    <row r="219" customFormat="false" ht="15" hidden="false" customHeight="false" outlineLevel="0" collapsed="false">
      <c r="A219" s="3" t="n">
        <v>48065</v>
      </c>
      <c r="B219" s="3" t="n">
        <v>182297</v>
      </c>
      <c r="C219" s="18" t="n">
        <v>678</v>
      </c>
      <c r="D219" s="18" t="n">
        <v>678</v>
      </c>
      <c r="E219" s="19" t="n">
        <v>306.102356936024</v>
      </c>
      <c r="F219" s="19" t="n">
        <v>337.627843311051</v>
      </c>
      <c r="G219" s="12" t="n">
        <f aca="false">E219/Combined_Summary!$B$23</f>
        <v>1224.4094277441</v>
      </c>
      <c r="H219" s="12" t="n">
        <f aca="false">F219/Combined_Summary!$B$23</f>
        <v>1350.5113732442</v>
      </c>
      <c r="I219" s="12" t="n">
        <f aca="false">H219-G219</f>
        <v>126.101945500106</v>
      </c>
      <c r="J219" s="13" t="n">
        <f aca="false">IF(G219=0,"",I219/G219)</f>
        <v>0.102990015139333</v>
      </c>
    </row>
    <row r="220" customFormat="false" ht="15" hidden="false" customHeight="false" outlineLevel="0" collapsed="false">
      <c r="A220" s="3" t="n">
        <v>48066</v>
      </c>
      <c r="B220" s="3" t="n">
        <v>187438</v>
      </c>
      <c r="C220" s="18" t="n">
        <v>631</v>
      </c>
      <c r="D220" s="18" t="n">
        <v>631</v>
      </c>
      <c r="E220" s="19" t="n">
        <v>345.476033472221</v>
      </c>
      <c r="F220" s="19" t="n">
        <v>379.138454769757</v>
      </c>
      <c r="G220" s="12" t="n">
        <f aca="false">E220/Combined_Summary!$B$23</f>
        <v>1381.90413388889</v>
      </c>
      <c r="H220" s="12" t="n">
        <f aca="false">F220/Combined_Summary!$B$23</f>
        <v>1516.55381907903</v>
      </c>
      <c r="I220" s="12" t="n">
        <f aca="false">H220-G220</f>
        <v>134.649685190143</v>
      </c>
      <c r="J220" s="13" t="n">
        <f aca="false">IF(G220=0,"",I220/G220)</f>
        <v>0.0974377902837722</v>
      </c>
    </row>
    <row r="221" customFormat="false" ht="15" hidden="false" customHeight="false" outlineLevel="0" collapsed="false">
      <c r="A221" s="3" t="n">
        <v>48067</v>
      </c>
      <c r="B221" s="3" t="n">
        <v>187732</v>
      </c>
      <c r="C221" s="18" t="n">
        <v>478</v>
      </c>
      <c r="D221" s="18" t="n">
        <v>478</v>
      </c>
      <c r="E221" s="19" t="n">
        <v>322.88626219937</v>
      </c>
      <c r="F221" s="19" t="n">
        <v>346.755251162222</v>
      </c>
      <c r="G221" s="12" t="n">
        <f aca="false">E221/Combined_Summary!$B$23</f>
        <v>1291.54504879748</v>
      </c>
      <c r="H221" s="12" t="n">
        <f aca="false">F221/Combined_Summary!$B$23</f>
        <v>1387.02100464889</v>
      </c>
      <c r="I221" s="12" t="n">
        <f aca="false">H221-G221</f>
        <v>95.4759558514072</v>
      </c>
      <c r="J221" s="13" t="n">
        <f aca="false">IF(G221=0,"",I221/G221)</f>
        <v>0.0739238294013067</v>
      </c>
    </row>
    <row r="222" customFormat="false" ht="15" hidden="false" customHeight="false" outlineLevel="0" collapsed="false">
      <c r="A222" s="3" t="n">
        <v>48068</v>
      </c>
      <c r="B222" s="3" t="n">
        <v>187720</v>
      </c>
      <c r="C222" s="18" t="n">
        <v>244</v>
      </c>
      <c r="D222" s="18" t="n">
        <v>244</v>
      </c>
      <c r="E222" s="19" t="n">
        <v>355.774972571701</v>
      </c>
      <c r="F222" s="19" t="n">
        <v>377.41417737867</v>
      </c>
      <c r="G222" s="12" t="n">
        <f aca="false">E222/Combined_Summary!$B$23</f>
        <v>1423.09989028681</v>
      </c>
      <c r="H222" s="12" t="n">
        <f aca="false">F222/Combined_Summary!$B$23</f>
        <v>1509.65670951468</v>
      </c>
      <c r="I222" s="12" t="n">
        <f aca="false">H222-G222</f>
        <v>86.5568192278752</v>
      </c>
      <c r="J222" s="13" t="n">
        <f aca="false">IF(G222=0,"",I222/G222)</f>
        <v>0.0608227291834243</v>
      </c>
    </row>
    <row r="223" customFormat="false" ht="15" hidden="false" customHeight="false" outlineLevel="0" collapsed="false">
      <c r="A223" s="3" t="n">
        <v>48079</v>
      </c>
      <c r="B223" s="3" t="n">
        <v>182515</v>
      </c>
      <c r="C223" s="18" t="n">
        <v>527</v>
      </c>
      <c r="D223" s="18" t="n">
        <v>527</v>
      </c>
      <c r="E223" s="19" t="n">
        <v>342.622742712611</v>
      </c>
      <c r="F223" s="19" t="n">
        <v>374.555182440684</v>
      </c>
      <c r="G223" s="12" t="n">
        <f aca="false">E223/Combined_Summary!$B$23</f>
        <v>1370.49097085044</v>
      </c>
      <c r="H223" s="12" t="n">
        <f aca="false">F223/Combined_Summary!$B$23</f>
        <v>1498.22072976273</v>
      </c>
      <c r="I223" s="12" t="n">
        <f aca="false">H223-G223</f>
        <v>127.729758912291</v>
      </c>
      <c r="J223" s="13" t="n">
        <f aca="false">IF(G223=0,"",I223/G223)</f>
        <v>0.0932000003130484</v>
      </c>
    </row>
    <row r="224" customFormat="false" ht="15" hidden="false" customHeight="false" outlineLevel="0" collapsed="false">
      <c r="A224" s="3" t="n">
        <v>48080</v>
      </c>
      <c r="B224" s="3" t="n">
        <v>188659</v>
      </c>
      <c r="C224" s="18" t="n">
        <v>318</v>
      </c>
      <c r="D224" s="18" t="n">
        <v>318</v>
      </c>
      <c r="E224" s="19" t="n">
        <v>376.779134714379</v>
      </c>
      <c r="F224" s="19" t="n">
        <v>403.22881453892</v>
      </c>
      <c r="G224" s="12" t="n">
        <f aca="false">E224/Combined_Summary!$B$23</f>
        <v>1507.11653885751</v>
      </c>
      <c r="H224" s="12" t="n">
        <f aca="false">F224/Combined_Summary!$B$23</f>
        <v>1612.91525815568</v>
      </c>
      <c r="I224" s="12" t="n">
        <f aca="false">H224-G224</f>
        <v>105.798719298165</v>
      </c>
      <c r="J224" s="13" t="n">
        <f aca="false">IF(G224=0,"",I224/G224)</f>
        <v>0.0701994282262783</v>
      </c>
    </row>
    <row r="225" customFormat="false" ht="15" hidden="false" customHeight="false" outlineLevel="0" collapsed="false">
      <c r="A225" s="3" t="n">
        <v>48081</v>
      </c>
      <c r="B225" s="3" t="n">
        <v>187721</v>
      </c>
      <c r="C225" s="18" t="n">
        <v>411</v>
      </c>
      <c r="D225" s="18" t="n">
        <v>411</v>
      </c>
      <c r="E225" s="19" t="n">
        <v>366.690887915247</v>
      </c>
      <c r="F225" s="19" t="n">
        <v>383.709673452261</v>
      </c>
      <c r="G225" s="12" t="n">
        <f aca="false">E225/Combined_Summary!$B$23</f>
        <v>1466.76355166099</v>
      </c>
      <c r="H225" s="12" t="n">
        <f aca="false">F225/Combined_Summary!$B$23</f>
        <v>1534.83869380905</v>
      </c>
      <c r="I225" s="12" t="n">
        <f aca="false">H225-G225</f>
        <v>68.0751421480577</v>
      </c>
      <c r="J225" s="13" t="n">
        <f aca="false">IF(G225=0,"",I225/G225)</f>
        <v>0.0464118037777584</v>
      </c>
    </row>
    <row r="226" customFormat="false" ht="15" hidden="false" customHeight="false" outlineLevel="0" collapsed="false">
      <c r="A226" s="3" t="n">
        <v>48093</v>
      </c>
      <c r="B226" s="3" t="n">
        <v>635442</v>
      </c>
      <c r="C226" s="18" t="n">
        <v>16</v>
      </c>
      <c r="D226" s="18" t="n">
        <v>16</v>
      </c>
      <c r="E226" s="19" t="n">
        <v>340.073789596558</v>
      </c>
      <c r="F226" s="19" t="n">
        <v>355.753149032593</v>
      </c>
      <c r="G226" s="12" t="n">
        <f aca="false">E226/Combined_Summary!$B$23</f>
        <v>1360.29515838623</v>
      </c>
      <c r="H226" s="12" t="n">
        <f aca="false">F226/Combined_Summary!$B$23</f>
        <v>1423.01259613037</v>
      </c>
      <c r="I226" s="12" t="n">
        <f aca="false">H226-G226</f>
        <v>62.7174377441406</v>
      </c>
      <c r="J226" s="13" t="n">
        <f aca="false">IF(G226=0,"",I226/G226)</f>
        <v>0.0461057567965946</v>
      </c>
    </row>
    <row r="227" customFormat="false" ht="15" hidden="false" customHeight="false" outlineLevel="0" collapsed="false">
      <c r="A227" s="3" t="n">
        <v>48094</v>
      </c>
      <c r="B227" s="3" t="n">
        <v>180974</v>
      </c>
      <c r="C227" s="18" t="n">
        <v>647</v>
      </c>
      <c r="D227" s="18" t="n">
        <v>647</v>
      </c>
      <c r="E227" s="19" t="n">
        <v>336.125616648466</v>
      </c>
      <c r="F227" s="19" t="n">
        <v>358.54933034434</v>
      </c>
      <c r="G227" s="12" t="n">
        <f aca="false">E227/Combined_Summary!$B$23</f>
        <v>1344.50246659386</v>
      </c>
      <c r="H227" s="12" t="n">
        <f aca="false">F227/Combined_Summary!$B$23</f>
        <v>1434.19732137736</v>
      </c>
      <c r="I227" s="12" t="n">
        <f aca="false">H227-G227</f>
        <v>89.6948547834957</v>
      </c>
      <c r="J227" s="13" t="n">
        <f aca="false">IF(G227=0,"",I227/G227)</f>
        <v>0.0667123021430573</v>
      </c>
    </row>
    <row r="228" customFormat="false" ht="15" hidden="false" customHeight="false" outlineLevel="0" collapsed="false">
      <c r="A228" s="3" t="n">
        <v>48095</v>
      </c>
      <c r="B228" s="3" t="n">
        <v>188665</v>
      </c>
      <c r="C228" s="18" t="n">
        <v>698</v>
      </c>
      <c r="D228" s="18" t="n">
        <v>698</v>
      </c>
      <c r="E228" s="19" t="n">
        <v>336.279618424468</v>
      </c>
      <c r="F228" s="19" t="n">
        <v>363.538030116128</v>
      </c>
      <c r="G228" s="12" t="n">
        <f aca="false">E228/Combined_Summary!$B$23</f>
        <v>1345.11847369787</v>
      </c>
      <c r="H228" s="12" t="n">
        <f aca="false">F228/Combined_Summary!$B$23</f>
        <v>1454.15212046451</v>
      </c>
      <c r="I228" s="12" t="n">
        <f aca="false">H228-G228</f>
        <v>109.033646766641</v>
      </c>
      <c r="J228" s="13" t="n">
        <f aca="false">IF(G228=0,"",I228/G228)</f>
        <v>0.0810587683528692</v>
      </c>
    </row>
    <row r="229" customFormat="false" ht="15" hidden="false" customHeight="false" outlineLevel="0" collapsed="false">
      <c r="A229" s="3" t="n">
        <v>48096</v>
      </c>
      <c r="B229" s="3" t="n">
        <v>188690</v>
      </c>
      <c r="C229" s="18" t="n">
        <v>547</v>
      </c>
      <c r="D229" s="18" t="n">
        <v>547</v>
      </c>
      <c r="E229" s="19" t="n">
        <v>351.657057530265</v>
      </c>
      <c r="F229" s="19" t="n">
        <v>378.938660421145</v>
      </c>
      <c r="G229" s="12" t="n">
        <f aca="false">E229/Combined_Summary!$B$23</f>
        <v>1406.62823012106</v>
      </c>
      <c r="H229" s="12" t="n">
        <f aca="false">F229/Combined_Summary!$B$23</f>
        <v>1515.75464168458</v>
      </c>
      <c r="I229" s="12" t="n">
        <f aca="false">H229-G229</f>
        <v>109.126411563518</v>
      </c>
      <c r="J229" s="13" t="n">
        <f aca="false">IF(G229=0,"",I229/G229)</f>
        <v>0.0775801375421889</v>
      </c>
    </row>
    <row r="230" customFormat="false" ht="15" hidden="false" customHeight="false" outlineLevel="0" collapsed="false">
      <c r="A230" s="3" t="n">
        <v>48097</v>
      </c>
      <c r="B230" s="3" t="n">
        <v>188660</v>
      </c>
      <c r="C230" s="18" t="n">
        <v>523</v>
      </c>
      <c r="D230" s="18" t="n">
        <v>523</v>
      </c>
      <c r="E230" s="19" t="n">
        <v>346.580230275258</v>
      </c>
      <c r="F230" s="19" t="n">
        <v>385.663758170308</v>
      </c>
      <c r="G230" s="12" t="n">
        <f aca="false">E230/Combined_Summary!$B$23</f>
        <v>1386.32092110103</v>
      </c>
      <c r="H230" s="12" t="n">
        <f aca="false">F230/Combined_Summary!$B$23</f>
        <v>1542.65503268123</v>
      </c>
      <c r="I230" s="12" t="n">
        <f aca="false">H230-G230</f>
        <v>156.334111580202</v>
      </c>
      <c r="J230" s="13" t="n">
        <f aca="false">IF(G230=0,"",I230/G230)</f>
        <v>0.112769063209433</v>
      </c>
    </row>
    <row r="231" customFormat="false" ht="15" hidden="false" customHeight="false" outlineLevel="0" collapsed="false">
      <c r="A231" s="3" t="n">
        <v>48098</v>
      </c>
      <c r="B231" s="3" t="n">
        <v>187707</v>
      </c>
      <c r="C231" s="18" t="n">
        <v>557</v>
      </c>
      <c r="D231" s="18" t="n">
        <v>557</v>
      </c>
      <c r="E231" s="19" t="n">
        <v>351.432986055713</v>
      </c>
      <c r="F231" s="19" t="n">
        <v>375.284410240406</v>
      </c>
      <c r="G231" s="12" t="n">
        <f aca="false">E231/Combined_Summary!$B$23</f>
        <v>1405.73194422285</v>
      </c>
      <c r="H231" s="12" t="n">
        <f aca="false">F231/Combined_Summary!$B$23</f>
        <v>1501.13764096162</v>
      </c>
      <c r="I231" s="12" t="n">
        <f aca="false">H231-G231</f>
        <v>95.4056967387721</v>
      </c>
      <c r="J231" s="13" t="n">
        <f aca="false">IF(G231=0,"",I231/G231)</f>
        <v>0.067869053649141</v>
      </c>
    </row>
    <row r="232" customFormat="false" ht="15" hidden="false" customHeight="false" outlineLevel="0" collapsed="false">
      <c r="A232" s="3" t="n">
        <v>48110</v>
      </c>
      <c r="B232" s="3" t="n">
        <v>180951</v>
      </c>
      <c r="C232" s="18" t="n">
        <v>778</v>
      </c>
      <c r="D232" s="18" t="n">
        <v>778</v>
      </c>
      <c r="E232" s="19" t="n">
        <v>342.134433226598</v>
      </c>
      <c r="F232" s="19" t="n">
        <v>362.667160573533</v>
      </c>
      <c r="G232" s="12" t="n">
        <f aca="false">E232/Combined_Summary!$B$23</f>
        <v>1368.53773290639</v>
      </c>
      <c r="H232" s="12" t="n">
        <f aca="false">F232/Combined_Summary!$B$23</f>
        <v>1450.66864229413</v>
      </c>
      <c r="I232" s="12" t="n">
        <f aca="false">H232-G232</f>
        <v>82.1309093877403</v>
      </c>
      <c r="J232" s="13" t="n">
        <f aca="false">IF(G232=0,"",I232/G232)</f>
        <v>0.060013624332679</v>
      </c>
    </row>
    <row r="233" customFormat="false" ht="15" hidden="false" customHeight="false" outlineLevel="0" collapsed="false">
      <c r="A233" s="3" t="n">
        <v>48111</v>
      </c>
      <c r="B233" s="3" t="n">
        <v>188683</v>
      </c>
      <c r="C233" s="18" t="n">
        <v>845</v>
      </c>
      <c r="D233" s="18" t="n">
        <v>845</v>
      </c>
      <c r="E233" s="19" t="n">
        <v>324.960999636678</v>
      </c>
      <c r="F233" s="19" t="n">
        <v>355.508357121394</v>
      </c>
      <c r="G233" s="12" t="n">
        <f aca="false">E233/Combined_Summary!$B$23</f>
        <v>1299.84399854671</v>
      </c>
      <c r="H233" s="12" t="n">
        <f aca="false">F233/Combined_Summary!$B$23</f>
        <v>1422.03342848558</v>
      </c>
      <c r="I233" s="12" t="n">
        <f aca="false">H233-G233</f>
        <v>122.189429938864</v>
      </c>
      <c r="J233" s="13" t="n">
        <f aca="false">IF(G233=0,"",I233/G233)</f>
        <v>0.0940031496667886</v>
      </c>
    </row>
    <row r="234" customFormat="false" ht="15" hidden="false" customHeight="false" outlineLevel="0" collapsed="false">
      <c r="A234" s="3" t="n">
        <v>48112</v>
      </c>
      <c r="B234" s="3" t="n">
        <v>187671</v>
      </c>
      <c r="C234" s="18" t="n">
        <v>421</v>
      </c>
      <c r="D234" s="18" t="n">
        <v>421</v>
      </c>
      <c r="E234" s="19" t="n">
        <v>336.305788959857</v>
      </c>
      <c r="F234" s="19" t="n">
        <v>358.912485299371</v>
      </c>
      <c r="G234" s="12" t="n">
        <f aca="false">E234/Combined_Summary!$B$23</f>
        <v>1345.22315583943</v>
      </c>
      <c r="H234" s="12" t="n">
        <f aca="false">F234/Combined_Summary!$B$23</f>
        <v>1435.64994119748</v>
      </c>
      <c r="I234" s="12" t="n">
        <f aca="false">H234-G234</f>
        <v>90.4267853580573</v>
      </c>
      <c r="J234" s="13" t="n">
        <f aca="false">IF(G234=0,"",I234/G234)</f>
        <v>0.0672206577514869</v>
      </c>
    </row>
    <row r="235" customFormat="false" ht="15" hidden="false" customHeight="false" outlineLevel="0" collapsed="false">
      <c r="A235" s="3" t="n">
        <v>48113</v>
      </c>
      <c r="B235" s="3" t="n">
        <v>187674</v>
      </c>
      <c r="C235" s="18" t="n">
        <v>797</v>
      </c>
      <c r="D235" s="18" t="n">
        <v>797</v>
      </c>
      <c r="E235" s="19" t="n">
        <v>355.774202114665</v>
      </c>
      <c r="F235" s="19" t="n">
        <v>385.341821304379</v>
      </c>
      <c r="G235" s="12" t="n">
        <f aca="false">E235/Combined_Summary!$B$23</f>
        <v>1423.09680845866</v>
      </c>
      <c r="H235" s="12" t="n">
        <f aca="false">F235/Combined_Summary!$B$23</f>
        <v>1541.36728521751</v>
      </c>
      <c r="I235" s="12" t="n">
        <f aca="false">H235-G235</f>
        <v>118.270476758854</v>
      </c>
      <c r="J235" s="13" t="n">
        <f aca="false">IF(G235=0,"",I235/G235)</f>
        <v>0.0831078223602732</v>
      </c>
    </row>
    <row r="236" customFormat="false" ht="15" hidden="false" customHeight="false" outlineLevel="0" collapsed="false">
      <c r="A236" s="3" t="n">
        <v>48114</v>
      </c>
      <c r="B236" s="3" t="n">
        <v>187702</v>
      </c>
      <c r="C236" s="18" t="n">
        <v>212</v>
      </c>
      <c r="D236" s="18" t="n">
        <v>212</v>
      </c>
      <c r="E236" s="19" t="n">
        <v>284.196126973854</v>
      </c>
      <c r="F236" s="19" t="n">
        <v>310.431611762857</v>
      </c>
      <c r="G236" s="12" t="n">
        <f aca="false">E236/Combined_Summary!$B$23</f>
        <v>1136.78450789542</v>
      </c>
      <c r="H236" s="12" t="n">
        <f aca="false">F236/Combined_Summary!$B$23</f>
        <v>1241.72644705143</v>
      </c>
      <c r="I236" s="12" t="n">
        <f aca="false">H236-G236</f>
        <v>104.941939156011</v>
      </c>
      <c r="J236" s="13" t="n">
        <f aca="false">IF(G236=0,"",I236/G236)</f>
        <v>0.0923147161376214</v>
      </c>
    </row>
    <row r="237" customFormat="false" ht="15" hidden="false" customHeight="false" outlineLevel="0" collapsed="false">
      <c r="A237" s="3" t="n">
        <v>48161</v>
      </c>
      <c r="B237" s="3" t="n">
        <v>180978</v>
      </c>
      <c r="C237" s="18" t="n">
        <v>724</v>
      </c>
      <c r="D237" s="18" t="n">
        <v>724</v>
      </c>
      <c r="E237" s="19" t="n">
        <v>329.15339473071</v>
      </c>
      <c r="F237" s="19" t="n">
        <v>359.212676812272</v>
      </c>
      <c r="G237" s="12" t="n">
        <f aca="false">E237/Combined_Summary!$B$23</f>
        <v>1316.61357892284</v>
      </c>
      <c r="H237" s="12" t="n">
        <f aca="false">F237/Combined_Summary!$B$23</f>
        <v>1436.85070724909</v>
      </c>
      <c r="I237" s="12" t="n">
        <f aca="false">H237-G237</f>
        <v>120.237128326247</v>
      </c>
      <c r="J237" s="13" t="n">
        <f aca="false">IF(G237=0,"",I237/G237)</f>
        <v>0.0913230200957038</v>
      </c>
    </row>
    <row r="238" customFormat="false" ht="15" hidden="false" customHeight="false" outlineLevel="0" collapsed="false">
      <c r="A238" s="3" t="n">
        <v>48162</v>
      </c>
      <c r="B238" s="3" t="n">
        <v>188693</v>
      </c>
      <c r="C238" s="18" t="n">
        <v>642</v>
      </c>
      <c r="D238" s="18" t="n">
        <v>642</v>
      </c>
      <c r="E238" s="19" t="n">
        <v>349.52749166756</v>
      </c>
      <c r="F238" s="19" t="n">
        <v>372.518444928796</v>
      </c>
      <c r="G238" s="12" t="n">
        <f aca="false">E238/Combined_Summary!$B$23</f>
        <v>1398.10996667024</v>
      </c>
      <c r="H238" s="12" t="n">
        <f aca="false">F238/Combined_Summary!$B$23</f>
        <v>1490.07377971518</v>
      </c>
      <c r="I238" s="12" t="n">
        <f aca="false">H238-G238</f>
        <v>91.9638130449428</v>
      </c>
      <c r="J238" s="13" t="n">
        <f aca="false">IF(G238=0,"",I238/G238)</f>
        <v>0.0657772387274837</v>
      </c>
    </row>
    <row r="239" customFormat="false" ht="15" hidden="false" customHeight="false" outlineLevel="0" collapsed="false">
      <c r="A239" s="3" t="n">
        <v>48163</v>
      </c>
      <c r="B239" s="3" t="n">
        <v>638063</v>
      </c>
      <c r="C239" s="18" t="n">
        <v>16</v>
      </c>
      <c r="D239" s="18" t="n">
        <v>16</v>
      </c>
      <c r="E239" s="19" t="n">
        <v>252.863775253296</v>
      </c>
      <c r="F239" s="19" t="n">
        <v>294.589113235474</v>
      </c>
      <c r="G239" s="12" t="n">
        <f aca="false">E239/Combined_Summary!$B$23</f>
        <v>1011.45510101318</v>
      </c>
      <c r="H239" s="12" t="n">
        <f aca="false">F239/Combined_Summary!$B$23</f>
        <v>1178.35645294189</v>
      </c>
      <c r="I239" s="12" t="n">
        <f aca="false">H239-G239</f>
        <v>166.901351928711</v>
      </c>
      <c r="J239" s="13" t="n">
        <f aca="false">IF(G239=0,"",I239/G239)</f>
        <v>0.165011132734932</v>
      </c>
    </row>
    <row r="240" customFormat="false" ht="15" hidden="false" customHeight="false" outlineLevel="0" collapsed="false">
      <c r="A240" s="3" t="n">
        <v>48164</v>
      </c>
      <c r="B240" s="3" t="n">
        <v>187692</v>
      </c>
      <c r="C240" s="18" t="n">
        <v>250</v>
      </c>
      <c r="D240" s="18" t="n">
        <v>250</v>
      </c>
      <c r="E240" s="19" t="n">
        <v>350.039041656494</v>
      </c>
      <c r="F240" s="19" t="n">
        <v>378.643412811279</v>
      </c>
      <c r="G240" s="12" t="n">
        <f aca="false">E240/Combined_Summary!$B$23</f>
        <v>1400.15616662598</v>
      </c>
      <c r="H240" s="12" t="n">
        <f aca="false">F240/Combined_Summary!$B$23</f>
        <v>1514.57365124512</v>
      </c>
      <c r="I240" s="12" t="n">
        <f aca="false">H240-G240</f>
        <v>114.417484619141</v>
      </c>
      <c r="J240" s="13" t="n">
        <f aca="false">IF(G240=0,"",I240/G240)</f>
        <v>0.0817176593200016</v>
      </c>
    </row>
    <row r="241" customFormat="false" ht="15" hidden="false" customHeight="false" outlineLevel="0" collapsed="false">
      <c r="A241" s="3" t="n">
        <v>48179</v>
      </c>
      <c r="B241" s="3" t="n">
        <v>187794</v>
      </c>
      <c r="C241" s="18" t="n">
        <v>463</v>
      </c>
      <c r="D241" s="18" t="n">
        <v>463</v>
      </c>
      <c r="E241" s="19" t="n">
        <v>322.628969789839</v>
      </c>
      <c r="F241" s="19" t="n">
        <v>350.080849567191</v>
      </c>
      <c r="G241" s="12" t="n">
        <f aca="false">E241/Combined_Summary!$B$23</f>
        <v>1290.51587915935</v>
      </c>
      <c r="H241" s="12" t="n">
        <f aca="false">F241/Combined_Summary!$B$23</f>
        <v>1400.32339826876</v>
      </c>
      <c r="I241" s="12" t="n">
        <f aca="false">H241-G241</f>
        <v>109.807519109409</v>
      </c>
      <c r="J241" s="13" t="n">
        <f aca="false">IF(G241=0,"",I241/G241)</f>
        <v>0.08508808057514</v>
      </c>
    </row>
    <row r="242" customFormat="false" ht="15" hidden="false" customHeight="false" outlineLevel="0" collapsed="false">
      <c r="A242" s="3" t="n">
        <v>48198</v>
      </c>
      <c r="B242" s="3" t="n">
        <v>193715</v>
      </c>
      <c r="C242" s="18" t="n">
        <v>211</v>
      </c>
      <c r="D242" s="18" t="n">
        <v>211</v>
      </c>
      <c r="E242" s="19" t="n">
        <v>269.358991469252</v>
      </c>
      <c r="F242" s="19" t="n">
        <v>311.407871228259</v>
      </c>
      <c r="G242" s="12" t="n">
        <f aca="false">E242/Combined_Summary!$B$23</f>
        <v>1077.43596587701</v>
      </c>
      <c r="H242" s="12" t="n">
        <f aca="false">F242/Combined_Summary!$B$23</f>
        <v>1245.63148491304</v>
      </c>
      <c r="I242" s="12" t="n">
        <f aca="false">H242-G242</f>
        <v>168.195519036027</v>
      </c>
      <c r="J242" s="13" t="n">
        <f aca="false">IF(G242=0,"",I242/G242)</f>
        <v>0.156107206704502</v>
      </c>
    </row>
    <row r="243" customFormat="false" ht="15" hidden="false" customHeight="false" outlineLevel="0" collapsed="false">
      <c r="A243" s="3" t="n">
        <v>48199</v>
      </c>
      <c r="B243" s="3" t="n">
        <v>182475</v>
      </c>
      <c r="C243" s="18" t="n">
        <v>717</v>
      </c>
      <c r="D243" s="18" t="n">
        <v>717</v>
      </c>
      <c r="E243" s="19" t="n">
        <v>365.18766206877</v>
      </c>
      <c r="F243" s="19" t="n">
        <v>389.606289596238</v>
      </c>
      <c r="G243" s="12" t="n">
        <f aca="false">E243/Combined_Summary!$B$23</f>
        <v>1460.75064827508</v>
      </c>
      <c r="H243" s="12" t="n">
        <f aca="false">F243/Combined_Summary!$B$23</f>
        <v>1558.42515838495</v>
      </c>
      <c r="I243" s="12" t="n">
        <f aca="false">H243-G243</f>
        <v>97.6745101098736</v>
      </c>
      <c r="J243" s="13" t="n">
        <f aca="false">IF(G243=0,"",I243/G243)</f>
        <v>0.0668659707426535</v>
      </c>
    </row>
    <row r="244" customFormat="false" ht="15" hidden="false" customHeight="false" outlineLevel="0" collapsed="false">
      <c r="A244" s="3" t="n">
        <v>48200</v>
      </c>
      <c r="B244" s="3" t="n">
        <v>187786</v>
      </c>
      <c r="C244" s="18" t="n">
        <v>579</v>
      </c>
      <c r="D244" s="18" t="n">
        <v>579</v>
      </c>
      <c r="E244" s="19" t="n">
        <v>356.504982969716</v>
      </c>
      <c r="F244" s="19" t="n">
        <v>382.712546537989</v>
      </c>
      <c r="G244" s="12" t="n">
        <f aca="false">E244/Combined_Summary!$B$23</f>
        <v>1426.01993187886</v>
      </c>
      <c r="H244" s="12" t="n">
        <f aca="false">F244/Combined_Summary!$B$23</f>
        <v>1530.85018615196</v>
      </c>
      <c r="I244" s="12" t="n">
        <f aca="false">H244-G244</f>
        <v>104.830254273093</v>
      </c>
      <c r="J244" s="13" t="n">
        <f aca="false">IF(G244=0,"",I244/G244)</f>
        <v>0.0735124747765434</v>
      </c>
    </row>
    <row r="245" customFormat="false" ht="15" hidden="false" customHeight="false" outlineLevel="0" collapsed="false">
      <c r="A245" s="3" t="n">
        <v>48201</v>
      </c>
      <c r="B245" s="3" t="n">
        <v>187792</v>
      </c>
      <c r="C245" s="18" t="n">
        <v>679</v>
      </c>
      <c r="D245" s="18" t="n">
        <v>679</v>
      </c>
      <c r="E245" s="19" t="n">
        <v>347.748683833936</v>
      </c>
      <c r="F245" s="19" t="n">
        <v>376.208064061026</v>
      </c>
      <c r="G245" s="12" t="n">
        <f aca="false">E245/Combined_Summary!$B$23</f>
        <v>1390.99473533574</v>
      </c>
      <c r="H245" s="12" t="n">
        <f aca="false">F245/Combined_Summary!$B$23</f>
        <v>1504.8322562441</v>
      </c>
      <c r="I245" s="12" t="n">
        <f aca="false">H245-G245</f>
        <v>113.837520908361</v>
      </c>
      <c r="J245" s="13" t="n">
        <f aca="false">IF(G245=0,"",I245/G245)</f>
        <v>0.0818389300955079</v>
      </c>
    </row>
    <row r="246" customFormat="false" ht="15" hidden="false" customHeight="false" outlineLevel="0" collapsed="false">
      <c r="A246" s="3" t="n">
        <v>48218</v>
      </c>
      <c r="B246" s="3" t="n">
        <v>181017</v>
      </c>
      <c r="C246" s="18" t="n">
        <v>789</v>
      </c>
      <c r="D246" s="18" t="n">
        <v>789</v>
      </c>
      <c r="E246" s="19" t="n">
        <v>346.172217984314</v>
      </c>
      <c r="F246" s="19" t="n">
        <v>370.830866186338</v>
      </c>
      <c r="G246" s="12" t="n">
        <f aca="false">E246/Combined_Summary!$B$23</f>
        <v>1384.68887193726</v>
      </c>
      <c r="H246" s="12" t="n">
        <f aca="false">F246/Combined_Summary!$B$23</f>
        <v>1483.32346474535</v>
      </c>
      <c r="I246" s="12" t="n">
        <f aca="false">H246-G246</f>
        <v>98.6345928080941</v>
      </c>
      <c r="J246" s="13" t="n">
        <f aca="false">IF(G246=0,"",I246/G246)</f>
        <v>0.0712323142093998</v>
      </c>
    </row>
    <row r="247" customFormat="false" ht="15" hidden="false" customHeight="false" outlineLevel="0" collapsed="false">
      <c r="A247" s="3" t="n">
        <v>48219</v>
      </c>
      <c r="B247" s="3" t="n">
        <v>187759</v>
      </c>
      <c r="C247" s="18" t="n">
        <v>599</v>
      </c>
      <c r="D247" s="18" t="n">
        <v>599</v>
      </c>
      <c r="E247" s="19" t="n">
        <v>309.995802826794</v>
      </c>
      <c r="F247" s="19" t="n">
        <v>343.042721285048</v>
      </c>
      <c r="G247" s="12" t="n">
        <f aca="false">E247/Combined_Summary!$B$23</f>
        <v>1239.98321130718</v>
      </c>
      <c r="H247" s="12" t="n">
        <f aca="false">F247/Combined_Summary!$B$23</f>
        <v>1372.17088514019</v>
      </c>
      <c r="I247" s="12" t="n">
        <f aca="false">H247-G247</f>
        <v>132.187673833015</v>
      </c>
      <c r="J247" s="13" t="n">
        <f aca="false">IF(G247=0,"",I247/G247)</f>
        <v>0.106604406114229</v>
      </c>
    </row>
    <row r="248" customFormat="false" ht="15" hidden="false" customHeight="false" outlineLevel="0" collapsed="false">
      <c r="A248" s="3" t="n">
        <v>48220</v>
      </c>
      <c r="B248" s="3" t="n">
        <v>187760</v>
      </c>
      <c r="C248" s="18" t="n">
        <v>707</v>
      </c>
      <c r="D248" s="18" t="n">
        <v>707</v>
      </c>
      <c r="E248" s="19" t="n">
        <v>307.843497242584</v>
      </c>
      <c r="F248" s="19" t="n">
        <v>338.052122814821</v>
      </c>
      <c r="G248" s="12" t="n">
        <f aca="false">E248/Combined_Summary!$B$23</f>
        <v>1231.37398897033</v>
      </c>
      <c r="H248" s="12" t="n">
        <f aca="false">F248/Combined_Summary!$B$23</f>
        <v>1352.20849125928</v>
      </c>
      <c r="I248" s="12" t="n">
        <f aca="false">H248-G248</f>
        <v>120.834502288948</v>
      </c>
      <c r="J248" s="13" t="n">
        <f aca="false">IF(G248=0,"",I248/G248)</f>
        <v>0.0981298154511034</v>
      </c>
    </row>
    <row r="249" customFormat="false" ht="15" hidden="false" customHeight="false" outlineLevel="0" collapsed="false">
      <c r="A249" s="3" t="n">
        <v>48233</v>
      </c>
      <c r="B249" s="3" t="n">
        <v>16094</v>
      </c>
      <c r="C249" s="18" t="n">
        <v>1417</v>
      </c>
      <c r="D249" s="18" t="n">
        <v>1417</v>
      </c>
      <c r="E249" s="19" t="n">
        <v>368.57063772919</v>
      </c>
      <c r="F249" s="19" t="n">
        <v>403.542086286955</v>
      </c>
      <c r="G249" s="12" t="n">
        <f aca="false">E249/Combined_Summary!$B$23</f>
        <v>1474.28255091676</v>
      </c>
      <c r="H249" s="12" t="n">
        <f aca="false">F249/Combined_Summary!$B$23</f>
        <v>1614.16834514782</v>
      </c>
      <c r="I249" s="12" t="n">
        <f aca="false">H249-G249</f>
        <v>139.885794231062</v>
      </c>
      <c r="J249" s="13" t="n">
        <f aca="false">IF(G249=0,"",I249/G249)</f>
        <v>0.0948839787489014</v>
      </c>
    </row>
    <row r="250" customFormat="false" ht="15" hidden="false" customHeight="false" outlineLevel="0" collapsed="false">
      <c r="A250" s="3" t="n">
        <v>48234</v>
      </c>
      <c r="B250" s="3" t="n">
        <v>187789</v>
      </c>
      <c r="C250" s="18" t="n">
        <v>601</v>
      </c>
      <c r="D250" s="18" t="n">
        <v>601</v>
      </c>
      <c r="E250" s="19" t="n">
        <v>383.564722223012</v>
      </c>
      <c r="F250" s="19" t="n">
        <v>410.621250450909</v>
      </c>
      <c r="G250" s="12" t="n">
        <f aca="false">E250/Combined_Summary!$B$23</f>
        <v>1534.25888889205</v>
      </c>
      <c r="H250" s="12" t="n">
        <f aca="false">F250/Combined_Summary!$B$23</f>
        <v>1642.48500180363</v>
      </c>
      <c r="I250" s="12" t="n">
        <f aca="false">H250-G250</f>
        <v>108.226112911586</v>
      </c>
      <c r="J250" s="13" t="n">
        <f aca="false">IF(G250=0,"",I250/G250)</f>
        <v>0.0705396681714782</v>
      </c>
    </row>
    <row r="251" customFormat="false" ht="15" hidden="false" customHeight="false" outlineLevel="0" collapsed="false">
      <c r="A251" s="3" t="n">
        <v>48241</v>
      </c>
      <c r="B251" s="3" t="n">
        <v>182482</v>
      </c>
      <c r="C251" s="18" t="n">
        <v>777</v>
      </c>
      <c r="D251" s="18" t="n">
        <v>777</v>
      </c>
      <c r="E251" s="19" t="n">
        <v>348.830830302785</v>
      </c>
      <c r="F251" s="19" t="n">
        <v>378.773870146566</v>
      </c>
      <c r="G251" s="12" t="n">
        <f aca="false">E251/Combined_Summary!$B$23</f>
        <v>1395.32332121114</v>
      </c>
      <c r="H251" s="12" t="n">
        <f aca="false">F251/Combined_Summary!$B$23</f>
        <v>1515.09548058626</v>
      </c>
      <c r="I251" s="12" t="n">
        <f aca="false">H251-G251</f>
        <v>119.772159375126</v>
      </c>
      <c r="J251" s="13" t="n">
        <f aca="false">IF(G251=0,"",I251/G251)</f>
        <v>0.0858382838976445</v>
      </c>
    </row>
    <row r="252" customFormat="false" ht="15" hidden="false" customHeight="false" outlineLevel="0" collapsed="false">
      <c r="A252" s="3" t="n">
        <v>48256</v>
      </c>
      <c r="B252" s="3" t="n">
        <v>635453</v>
      </c>
      <c r="C252" s="18" t="n">
        <v>16</v>
      </c>
      <c r="D252" s="18" t="n">
        <v>16</v>
      </c>
      <c r="E252" s="19" t="n">
        <v>316.35724067688</v>
      </c>
      <c r="F252" s="19" t="n">
        <v>352.167722702026</v>
      </c>
      <c r="G252" s="12" t="n">
        <f aca="false">E252/Combined_Summary!$B$23</f>
        <v>1265.42896270752</v>
      </c>
      <c r="H252" s="12" t="n">
        <f aca="false">F252/Combined_Summary!$B$23</f>
        <v>1408.67089080811</v>
      </c>
      <c r="I252" s="12" t="n">
        <f aca="false">H252-G252</f>
        <v>143.241928100586</v>
      </c>
      <c r="J252" s="13" t="n">
        <f aca="false">IF(G252=0,"",I252/G252)</f>
        <v>0.113196340784002</v>
      </c>
    </row>
    <row r="253" customFormat="false" ht="15" hidden="false" customHeight="false" outlineLevel="0" collapsed="false">
      <c r="A253" s="3" t="n">
        <v>48257</v>
      </c>
      <c r="B253" s="3" t="n">
        <v>635451</v>
      </c>
      <c r="C253" s="18" t="n">
        <v>16</v>
      </c>
      <c r="D253" s="18" t="n">
        <v>16</v>
      </c>
      <c r="E253" s="19" t="n">
        <v>331.077583312988</v>
      </c>
      <c r="F253" s="19" t="n">
        <v>378.543775558472</v>
      </c>
      <c r="G253" s="12" t="n">
        <f aca="false">E253/Combined_Summary!$B$23</f>
        <v>1324.31033325195</v>
      </c>
      <c r="H253" s="12" t="n">
        <f aca="false">F253/Combined_Summary!$B$23</f>
        <v>1514.17510223389</v>
      </c>
      <c r="I253" s="12" t="n">
        <f aca="false">H253-G253</f>
        <v>189.864768981934</v>
      </c>
      <c r="J253" s="13" t="n">
        <f aca="false">IF(G253=0,"",I253/G253)</f>
        <v>0.143368789183805</v>
      </c>
    </row>
    <row r="254" customFormat="false" ht="15" hidden="false" customHeight="false" outlineLevel="0" collapsed="false">
      <c r="A254" s="3" t="n">
        <v>48269</v>
      </c>
      <c r="B254" s="3" t="n">
        <v>181010</v>
      </c>
      <c r="C254" s="18" t="n">
        <v>401</v>
      </c>
      <c r="D254" s="18" t="n">
        <v>401</v>
      </c>
      <c r="E254" s="19" t="n">
        <v>349.061980535265</v>
      </c>
      <c r="F254" s="19" t="n">
        <v>375.663061736528</v>
      </c>
      <c r="G254" s="12" t="n">
        <f aca="false">E254/Combined_Summary!$B$23</f>
        <v>1396.24792214106</v>
      </c>
      <c r="H254" s="12" t="n">
        <f aca="false">F254/Combined_Summary!$B$23</f>
        <v>1502.65224694611</v>
      </c>
      <c r="I254" s="12" t="n">
        <f aca="false">H254-G254</f>
        <v>106.404324805053</v>
      </c>
      <c r="J254" s="13" t="n">
        <f aca="false">IF(G254=0,"",I254/G254)</f>
        <v>0.0762073290264158</v>
      </c>
    </row>
    <row r="255" customFormat="false" ht="15" hidden="false" customHeight="false" outlineLevel="0" collapsed="false">
      <c r="A255" s="3" t="n">
        <v>48276</v>
      </c>
      <c r="B255" s="3" t="n">
        <v>182432</v>
      </c>
      <c r="C255" s="18" t="n">
        <v>657</v>
      </c>
      <c r="D255" s="18" t="n">
        <v>657</v>
      </c>
      <c r="E255" s="19" t="n">
        <v>333.544384711046</v>
      </c>
      <c r="F255" s="19" t="n">
        <v>373.271686408799</v>
      </c>
      <c r="G255" s="12" t="n">
        <f aca="false">E255/Combined_Summary!$B$23</f>
        <v>1334.17753884419</v>
      </c>
      <c r="H255" s="12" t="n">
        <f aca="false">F255/Combined_Summary!$B$23</f>
        <v>1493.0867456352</v>
      </c>
      <c r="I255" s="12" t="n">
        <f aca="false">H255-G255</f>
        <v>158.909206791011</v>
      </c>
      <c r="J255" s="13" t="n">
        <f aca="false">IF(G255=0,"",I255/G255)</f>
        <v>0.119106492325359</v>
      </c>
    </row>
    <row r="256" customFormat="false" ht="15" hidden="false" customHeight="false" outlineLevel="0" collapsed="false">
      <c r="A256" s="3" t="n">
        <v>48277</v>
      </c>
      <c r="B256" s="3" t="n">
        <v>180691</v>
      </c>
      <c r="C256" s="18" t="n">
        <v>521</v>
      </c>
      <c r="D256" s="18" t="n">
        <v>521</v>
      </c>
      <c r="E256" s="19" t="n">
        <v>330.800173958982</v>
      </c>
      <c r="F256" s="19" t="n">
        <v>364.27594787832</v>
      </c>
      <c r="G256" s="12" t="n">
        <f aca="false">E256/Combined_Summary!$B$23</f>
        <v>1323.20069583593</v>
      </c>
      <c r="H256" s="12" t="n">
        <f aca="false">F256/Combined_Summary!$B$23</f>
        <v>1457.10379151328</v>
      </c>
      <c r="I256" s="12" t="n">
        <f aca="false">H256-G256</f>
        <v>133.903095677352</v>
      </c>
      <c r="J256" s="13" t="n">
        <f aca="false">IF(G256=0,"",I256/G256)</f>
        <v>0.101196361291784</v>
      </c>
    </row>
    <row r="257" customFormat="false" ht="15" hidden="false" customHeight="false" outlineLevel="0" collapsed="false">
      <c r="A257" s="3" t="n">
        <v>48278</v>
      </c>
      <c r="B257" s="3" t="n">
        <v>588282</v>
      </c>
      <c r="C257" s="18" t="n">
        <v>15</v>
      </c>
      <c r="D257" s="18" t="n">
        <v>15</v>
      </c>
      <c r="E257" s="19" t="n">
        <v>338.674576822917</v>
      </c>
      <c r="F257" s="19" t="n">
        <v>365.497636922201</v>
      </c>
      <c r="G257" s="12" t="n">
        <f aca="false">E257/Combined_Summary!$B$23</f>
        <v>1354.69830729167</v>
      </c>
      <c r="H257" s="12" t="n">
        <f aca="false">F257/Combined_Summary!$B$23</f>
        <v>1461.9905476888</v>
      </c>
      <c r="I257" s="12" t="n">
        <f aca="false">H257-G257</f>
        <v>107.292240397135</v>
      </c>
      <c r="J257" s="13" t="n">
        <f aca="false">IF(G257=0,"",I257/G257)</f>
        <v>0.0792000992543022</v>
      </c>
    </row>
    <row r="258" customFormat="false" ht="15" hidden="false" customHeight="false" outlineLevel="0" collapsed="false">
      <c r="A258" s="3" t="n">
        <v>48295</v>
      </c>
      <c r="B258" s="3" t="n">
        <v>632575</v>
      </c>
      <c r="C258" s="18" t="n">
        <v>16</v>
      </c>
      <c r="D258" s="18" t="n">
        <v>16</v>
      </c>
      <c r="E258" s="19" t="n">
        <v>323.243696212769</v>
      </c>
      <c r="F258" s="19" t="n">
        <v>347.636972427368</v>
      </c>
      <c r="G258" s="12" t="n">
        <f aca="false">E258/Combined_Summary!$B$23</f>
        <v>1292.97478485107</v>
      </c>
      <c r="H258" s="12" t="n">
        <f aca="false">F258/Combined_Summary!$B$23</f>
        <v>1390.54788970947</v>
      </c>
      <c r="I258" s="12" t="n">
        <f aca="false">H258-G258</f>
        <v>97.5731048583984</v>
      </c>
      <c r="J258" s="13" t="n">
        <f aca="false">IF(G258=0,"",I258/G258)</f>
        <v>0.0754640430746196</v>
      </c>
    </row>
    <row r="259" customFormat="false" ht="15" hidden="false" customHeight="false" outlineLevel="0" collapsed="false">
      <c r="A259" s="3" t="n">
        <v>48296</v>
      </c>
      <c r="B259" s="3" t="n">
        <v>594461</v>
      </c>
      <c r="C259" s="18" t="n">
        <v>16</v>
      </c>
      <c r="D259" s="18" t="n">
        <v>16</v>
      </c>
      <c r="E259" s="19" t="n">
        <v>313.851745605469</v>
      </c>
      <c r="F259" s="19" t="n">
        <v>348.274919509888</v>
      </c>
      <c r="G259" s="12" t="n">
        <f aca="false">E259/Combined_Summary!$B$23</f>
        <v>1255.40698242188</v>
      </c>
      <c r="H259" s="12" t="n">
        <f aca="false">F259/Combined_Summary!$B$23</f>
        <v>1393.09967803955</v>
      </c>
      <c r="I259" s="12" t="n">
        <f aca="false">H259-G259</f>
        <v>137.692695617676</v>
      </c>
      <c r="J259" s="13" t="n">
        <f aca="false">IF(G259=0,"",I259/G259)</f>
        <v>0.109679727407637</v>
      </c>
    </row>
    <row r="260" customFormat="false" ht="15" hidden="false" customHeight="false" outlineLevel="0" collapsed="false">
      <c r="A260" s="3" t="n">
        <v>48297</v>
      </c>
      <c r="B260" s="3" t="n">
        <v>182406</v>
      </c>
      <c r="C260" s="18" t="n">
        <v>498</v>
      </c>
      <c r="D260" s="18" t="n">
        <v>498</v>
      </c>
      <c r="E260" s="19" t="n">
        <v>326.464476206217</v>
      </c>
      <c r="F260" s="19" t="n">
        <v>357.386639453321</v>
      </c>
      <c r="G260" s="12" t="n">
        <f aca="false">E260/Combined_Summary!$B$23</f>
        <v>1305.85790482487</v>
      </c>
      <c r="H260" s="12" t="n">
        <f aca="false">F260/Combined_Summary!$B$23</f>
        <v>1429.54655781328</v>
      </c>
      <c r="I260" s="12" t="n">
        <f aca="false">H260-G260</f>
        <v>123.688652988418</v>
      </c>
      <c r="J260" s="13" t="n">
        <f aca="false">IF(G260=0,"",I260/G260)</f>
        <v>0.0947183093439304</v>
      </c>
    </row>
    <row r="261" customFormat="false" ht="15" hidden="false" customHeight="false" outlineLevel="0" collapsed="false">
      <c r="A261" s="3" t="n">
        <v>48298</v>
      </c>
      <c r="B261" s="3" t="n">
        <v>594071</v>
      </c>
      <c r="C261" s="18" t="n">
        <v>16</v>
      </c>
      <c r="D261" s="18" t="n">
        <v>16</v>
      </c>
      <c r="E261" s="19" t="n">
        <v>341.692687988281</v>
      </c>
      <c r="F261" s="19" t="n">
        <v>361.147125244141</v>
      </c>
      <c r="G261" s="12" t="n">
        <f aca="false">E261/Combined_Summary!$B$23</f>
        <v>1366.77075195312</v>
      </c>
      <c r="H261" s="12" t="n">
        <f aca="false">F261/Combined_Summary!$B$23</f>
        <v>1444.58850097656</v>
      </c>
      <c r="I261" s="12" t="n">
        <f aca="false">H261-G261</f>
        <v>77.8177490234377</v>
      </c>
      <c r="J261" s="13" t="n">
        <f aca="false">IF(G261=0,"",I261/G261)</f>
        <v>0.0569354801543972</v>
      </c>
    </row>
    <row r="262" customFormat="false" ht="15" hidden="false" customHeight="false" outlineLevel="0" collapsed="false">
      <c r="A262" s="3" t="n">
        <v>48299</v>
      </c>
      <c r="B262" s="3" t="n">
        <v>187858</v>
      </c>
      <c r="C262" s="18" t="n">
        <v>712</v>
      </c>
      <c r="D262" s="18" t="n">
        <v>712</v>
      </c>
      <c r="E262" s="19" t="n">
        <v>334.5567437772</v>
      </c>
      <c r="F262" s="19" t="n">
        <v>366.672871964701</v>
      </c>
      <c r="G262" s="12" t="n">
        <f aca="false">E262/Combined_Summary!$B$23</f>
        <v>1338.2269751088</v>
      </c>
      <c r="H262" s="12" t="n">
        <f aca="false">F262/Combined_Summary!$B$23</f>
        <v>1466.6914878588</v>
      </c>
      <c r="I262" s="12" t="n">
        <f aca="false">H262-G262</f>
        <v>128.464512750004</v>
      </c>
      <c r="J262" s="13" t="n">
        <f aca="false">IF(G262=0,"",I262/G262)</f>
        <v>0.0959960568270263</v>
      </c>
    </row>
    <row r="263" customFormat="false" ht="15" hidden="false" customHeight="false" outlineLevel="0" collapsed="false">
      <c r="A263" s="3" t="n">
        <v>48300</v>
      </c>
      <c r="B263" s="3" t="n">
        <v>565040</v>
      </c>
      <c r="C263" s="18" t="n">
        <v>16</v>
      </c>
      <c r="D263" s="18" t="n">
        <v>16</v>
      </c>
      <c r="E263" s="19" t="n">
        <v>287.922503471375</v>
      </c>
      <c r="F263" s="19" t="n">
        <v>313.929857254028</v>
      </c>
      <c r="G263" s="12" t="n">
        <f aca="false">E263/Combined_Summary!$B$23</f>
        <v>1151.6900138855</v>
      </c>
      <c r="H263" s="12" t="n">
        <f aca="false">F263/Combined_Summary!$B$23</f>
        <v>1255.71942901611</v>
      </c>
      <c r="I263" s="12" t="n">
        <f aca="false">H263-G263</f>
        <v>104.029415130615</v>
      </c>
      <c r="J263" s="13" t="n">
        <f aca="false">IF(G263=0,"",I263/G263)</f>
        <v>0.0903276175675497</v>
      </c>
    </row>
    <row r="264" customFormat="false" ht="15" hidden="false" customHeight="false" outlineLevel="0" collapsed="false">
      <c r="A264" s="3" t="n">
        <v>48301</v>
      </c>
      <c r="B264" s="3" t="n">
        <v>31239</v>
      </c>
      <c r="C264" s="18" t="n">
        <v>2</v>
      </c>
      <c r="D264" s="18" t="n">
        <v>2</v>
      </c>
      <c r="E264" s="19" t="n">
        <v>287.601852416992</v>
      </c>
      <c r="F264" s="19" t="n">
        <v>427.611389160156</v>
      </c>
      <c r="G264" s="12" t="n">
        <f aca="false">E264/Combined_Summary!$B$23</f>
        <v>1150.40740966797</v>
      </c>
      <c r="H264" s="12" t="n">
        <f aca="false">F264/Combined_Summary!$B$23</f>
        <v>1710.44555664062</v>
      </c>
      <c r="I264" s="12" t="n">
        <f aca="false">H264-G264</f>
        <v>560.038146972656</v>
      </c>
      <c r="J264" s="13" t="n">
        <f aca="false">IF(G264=0,"",I264/G264)</f>
        <v>0.486817228632328</v>
      </c>
    </row>
    <row r="265" customFormat="false" ht="15" hidden="false" customHeight="false" outlineLevel="0" collapsed="false">
      <c r="A265" s="3" t="n">
        <v>50879</v>
      </c>
      <c r="B265" s="3" t="n">
        <v>187515</v>
      </c>
      <c r="C265" s="18" t="n">
        <v>137</v>
      </c>
      <c r="D265" s="18" t="n">
        <v>137</v>
      </c>
      <c r="E265" s="19" t="n">
        <v>383.371346132599</v>
      </c>
      <c r="F265" s="19" t="n">
        <v>412.977302439892</v>
      </c>
      <c r="G265" s="12" t="n">
        <f aca="false">E265/Combined_Summary!$B$23</f>
        <v>1533.48538453039</v>
      </c>
      <c r="H265" s="12" t="n">
        <f aca="false">F265/Combined_Summary!$B$23</f>
        <v>1651.90920975957</v>
      </c>
      <c r="I265" s="12" t="n">
        <f aca="false">H265-G265</f>
        <v>118.423825229171</v>
      </c>
      <c r="J265" s="13" t="n">
        <f aca="false">IF(G265=0,"",I265/G265)</f>
        <v>0.0772252715440366</v>
      </c>
    </row>
    <row r="266" customFormat="false" ht="15" hidden="false" customHeight="false" outlineLevel="0" collapsed="false">
      <c r="A266" s="3" t="n">
        <v>50891</v>
      </c>
      <c r="B266" s="3" t="n">
        <v>187494</v>
      </c>
      <c r="C266" s="18" t="n">
        <v>442</v>
      </c>
      <c r="D266" s="18" t="n">
        <v>442</v>
      </c>
      <c r="E266" s="19" t="n">
        <v>350.415163687451</v>
      </c>
      <c r="F266" s="19" t="n">
        <v>371.683541932257</v>
      </c>
      <c r="G266" s="12" t="n">
        <f aca="false">E266/Combined_Summary!$B$23</f>
        <v>1401.66065474981</v>
      </c>
      <c r="H266" s="12" t="n">
        <f aca="false">F266/Combined_Summary!$B$23</f>
        <v>1486.73416772903</v>
      </c>
      <c r="I266" s="12" t="n">
        <f aca="false">H266-G266</f>
        <v>85.0735129792229</v>
      </c>
      <c r="J266" s="13" t="n">
        <f aca="false">IF(G266=0,"",I266/G266)</f>
        <v>0.0606947999081906</v>
      </c>
    </row>
    <row r="267" customFormat="false" ht="15" hidden="false" customHeight="false" outlineLevel="0" collapsed="false">
      <c r="A267" s="3" t="n">
        <v>50892</v>
      </c>
      <c r="B267" s="3" t="n">
        <v>187519</v>
      </c>
      <c r="C267" s="18" t="n">
        <v>504</v>
      </c>
      <c r="D267" s="18" t="n">
        <v>504</v>
      </c>
      <c r="E267" s="19" t="n">
        <v>347.750020965697</v>
      </c>
      <c r="F267" s="19" t="n">
        <v>368.649274341644</v>
      </c>
      <c r="G267" s="12" t="n">
        <f aca="false">E267/Combined_Summary!$B$23</f>
        <v>1391.00008386279</v>
      </c>
      <c r="H267" s="12" t="n">
        <f aca="false">F267/Combined_Summary!$B$23</f>
        <v>1474.59709736658</v>
      </c>
      <c r="I267" s="12" t="n">
        <f aca="false">H267-G267</f>
        <v>83.597013503786</v>
      </c>
      <c r="J267" s="13" t="n">
        <f aca="false">IF(G267=0,"",I267/G267)</f>
        <v>0.0600984963794094</v>
      </c>
    </row>
    <row r="268" customFormat="false" ht="15" hidden="false" customHeight="false" outlineLevel="0" collapsed="false">
      <c r="A268" s="3" t="n">
        <v>50913</v>
      </c>
      <c r="B268" s="3" t="n">
        <v>182525</v>
      </c>
      <c r="C268" s="18" t="n">
        <v>689</v>
      </c>
      <c r="D268" s="18" t="n">
        <v>689</v>
      </c>
      <c r="E268" s="19" t="n">
        <v>324.443883527692</v>
      </c>
      <c r="F268" s="19" t="n">
        <v>358.174281869122</v>
      </c>
      <c r="G268" s="12" t="n">
        <f aca="false">E268/Combined_Summary!$B$23</f>
        <v>1297.77553411077</v>
      </c>
      <c r="H268" s="12" t="n">
        <f aca="false">F268/Combined_Summary!$B$23</f>
        <v>1432.69712747649</v>
      </c>
      <c r="I268" s="12" t="n">
        <f aca="false">H268-G268</f>
        <v>134.921593365718</v>
      </c>
      <c r="J268" s="13" t="n">
        <f aca="false">IF(G268=0,"",I268/G268)</f>
        <v>0.103963736269821</v>
      </c>
    </row>
    <row r="269" customFormat="false" ht="15" hidden="false" customHeight="false" outlineLevel="0" collapsed="false">
      <c r="A269" s="3" t="n">
        <v>50914</v>
      </c>
      <c r="B269" s="3" t="n">
        <v>187530</v>
      </c>
      <c r="C269" s="18" t="n">
        <v>380</v>
      </c>
      <c r="D269" s="18" t="n">
        <v>380</v>
      </c>
      <c r="E269" s="19" t="n">
        <v>345.470786947953</v>
      </c>
      <c r="F269" s="19" t="n">
        <v>373.459082573339</v>
      </c>
      <c r="G269" s="12" t="n">
        <f aca="false">E269/Combined_Summary!$B$23</f>
        <v>1381.88314779181</v>
      </c>
      <c r="H269" s="12" t="n">
        <f aca="false">F269/Combined_Summary!$B$23</f>
        <v>1493.83633029335</v>
      </c>
      <c r="I269" s="12" t="n">
        <f aca="false">H269-G269</f>
        <v>111.953182501542</v>
      </c>
      <c r="J269" s="13" t="n">
        <f aca="false">IF(G269=0,"",I269/G269)</f>
        <v>0.0810149415892637</v>
      </c>
    </row>
    <row r="270" customFormat="false" ht="15" hidden="false" customHeight="false" outlineLevel="0" collapsed="false">
      <c r="A270" s="3" t="n">
        <v>50915</v>
      </c>
      <c r="B270" s="3" t="n">
        <v>187552</v>
      </c>
      <c r="C270" s="18" t="n">
        <v>554</v>
      </c>
      <c r="D270" s="18" t="n">
        <v>554</v>
      </c>
      <c r="E270" s="19" t="n">
        <v>322.140905635021</v>
      </c>
      <c r="F270" s="19" t="n">
        <v>359.092228803394</v>
      </c>
      <c r="G270" s="12" t="n">
        <f aca="false">E270/Combined_Summary!$B$23</f>
        <v>1288.56362254009</v>
      </c>
      <c r="H270" s="12" t="n">
        <f aca="false">F270/Combined_Summary!$B$23</f>
        <v>1436.36891521357</v>
      </c>
      <c r="I270" s="12" t="n">
        <f aca="false">H270-G270</f>
        <v>147.80529267349</v>
      </c>
      <c r="J270" s="13" t="n">
        <f aca="false">IF(G270=0,"",I270/G270)</f>
        <v>0.114705467458509</v>
      </c>
    </row>
    <row r="271" customFormat="false" ht="15" hidden="false" customHeight="false" outlineLevel="0" collapsed="false">
      <c r="A271" s="3" t="n">
        <v>50916</v>
      </c>
      <c r="B271" s="3" t="n">
        <v>187585</v>
      </c>
      <c r="C271" s="18" t="n">
        <v>616</v>
      </c>
      <c r="D271" s="18" t="n">
        <v>616</v>
      </c>
      <c r="E271" s="19" t="n">
        <v>341.019044814172</v>
      </c>
      <c r="F271" s="19" t="n">
        <v>373.525771450687</v>
      </c>
      <c r="G271" s="12" t="n">
        <f aca="false">E271/Combined_Summary!$B$23</f>
        <v>1364.07617925669</v>
      </c>
      <c r="H271" s="12" t="n">
        <f aca="false">F271/Combined_Summary!$B$23</f>
        <v>1494.10308580275</v>
      </c>
      <c r="I271" s="12" t="n">
        <f aca="false">H271-G271</f>
        <v>130.02690654606</v>
      </c>
      <c r="J271" s="13" t="n">
        <f aca="false">IF(G271=0,"",I271/G271)</f>
        <v>0.0953223203537758</v>
      </c>
    </row>
    <row r="272" customFormat="false" ht="15" hidden="false" customHeight="false" outlineLevel="0" collapsed="false">
      <c r="A272" s="3" t="n">
        <v>50917</v>
      </c>
      <c r="B272" s="3" t="n">
        <v>187651</v>
      </c>
      <c r="C272" s="18" t="n">
        <v>612</v>
      </c>
      <c r="D272" s="18" t="n">
        <v>612</v>
      </c>
      <c r="E272" s="19" t="n">
        <v>340.137029716392</v>
      </c>
      <c r="F272" s="19" t="n">
        <v>370.633309993869</v>
      </c>
      <c r="G272" s="12" t="n">
        <f aca="false">E272/Combined_Summary!$B$23</f>
        <v>1360.54811886557</v>
      </c>
      <c r="H272" s="12" t="n">
        <f aca="false">F272/Combined_Summary!$B$23</f>
        <v>1482.53323997547</v>
      </c>
      <c r="I272" s="12" t="n">
        <f aca="false">H272-G272</f>
        <v>121.985121109906</v>
      </c>
      <c r="J272" s="13" t="n">
        <f aca="false">IF(G272=0,"",I272/G272)</f>
        <v>0.0896588069311492</v>
      </c>
    </row>
    <row r="273" customFormat="false" ht="15" hidden="false" customHeight="false" outlineLevel="0" collapsed="false">
      <c r="A273" s="3" t="n">
        <v>50936</v>
      </c>
      <c r="B273" s="3" t="n">
        <v>643811</v>
      </c>
      <c r="C273" s="18" t="n">
        <v>16</v>
      </c>
      <c r="D273" s="18" t="n">
        <v>16</v>
      </c>
      <c r="E273" s="19" t="n">
        <v>311.524807929993</v>
      </c>
      <c r="F273" s="19" t="n">
        <v>358.463933944702</v>
      </c>
      <c r="G273" s="12" t="n">
        <f aca="false">E273/Combined_Summary!$B$23</f>
        <v>1246.09923171997</v>
      </c>
      <c r="H273" s="12" t="n">
        <f aca="false">F273/Combined_Summary!$B$23</f>
        <v>1433.85573577881</v>
      </c>
      <c r="I273" s="12" t="n">
        <f aca="false">H273-G273</f>
        <v>187.756504058838</v>
      </c>
      <c r="J273" s="13" t="n">
        <f aca="false">IF(G273=0,"",I273/G273)</f>
        <v>0.150675403113507</v>
      </c>
    </row>
    <row r="274" customFormat="false" ht="15" hidden="false" customHeight="false" outlineLevel="0" collapsed="false">
      <c r="A274" s="3" t="n">
        <v>50937</v>
      </c>
      <c r="B274" s="3" t="n">
        <v>187570</v>
      </c>
      <c r="C274" s="18" t="n">
        <v>563</v>
      </c>
      <c r="D274" s="18" t="n">
        <v>563</v>
      </c>
      <c r="E274" s="19" t="n">
        <v>283.976083630143</v>
      </c>
      <c r="F274" s="19" t="n">
        <v>323.181184121601</v>
      </c>
      <c r="G274" s="12" t="n">
        <f aca="false">E274/Combined_Summary!$B$23</f>
        <v>1135.90433452057</v>
      </c>
      <c r="H274" s="12" t="n">
        <f aca="false">F274/Combined_Summary!$B$23</f>
        <v>1292.7247364864</v>
      </c>
      <c r="I274" s="12" t="n">
        <f aca="false">H274-G274</f>
        <v>156.820401965831</v>
      </c>
      <c r="J274" s="13" t="n">
        <f aca="false">IF(G274=0,"",I274/G274)</f>
        <v>0.138057754689368</v>
      </c>
    </row>
    <row r="275" customFormat="false" ht="15" hidden="false" customHeight="false" outlineLevel="0" collapsed="false">
      <c r="A275" s="3" t="n">
        <v>50938</v>
      </c>
      <c r="B275" s="3" t="n">
        <v>187574</v>
      </c>
      <c r="C275" s="18" t="n">
        <v>1018</v>
      </c>
      <c r="D275" s="18" t="n">
        <v>1018</v>
      </c>
      <c r="E275" s="19" t="n">
        <v>340.745047743522</v>
      </c>
      <c r="F275" s="19" t="n">
        <v>368.195826809627</v>
      </c>
      <c r="G275" s="12" t="n">
        <f aca="false">E275/Combined_Summary!$B$23</f>
        <v>1362.98019097409</v>
      </c>
      <c r="H275" s="12" t="n">
        <f aca="false">F275/Combined_Summary!$B$23</f>
        <v>1472.78330723851</v>
      </c>
      <c r="I275" s="12" t="n">
        <f aca="false">H275-G275</f>
        <v>109.803116264418</v>
      </c>
      <c r="J275" s="13" t="n">
        <f aca="false">IF(G275=0,"",I275/G275)</f>
        <v>0.0805610506972554</v>
      </c>
    </row>
    <row r="276" customFormat="false" ht="15" hidden="false" customHeight="false" outlineLevel="0" collapsed="false">
      <c r="A276" s="3" t="n">
        <v>50945</v>
      </c>
      <c r="B276" s="3" t="n">
        <v>463314</v>
      </c>
      <c r="C276" s="18" t="n">
        <v>234</v>
      </c>
      <c r="D276" s="18" t="n">
        <v>234</v>
      </c>
      <c r="E276" s="19" t="n">
        <v>353.23225034404</v>
      </c>
      <c r="F276" s="19" t="n">
        <v>392.768632024781</v>
      </c>
      <c r="G276" s="12" t="n">
        <f aca="false">E276/Combined_Summary!$B$23</f>
        <v>1412.92900137616</v>
      </c>
      <c r="H276" s="12" t="n">
        <f aca="false">F276/Combined_Summary!$B$23</f>
        <v>1571.07452809913</v>
      </c>
      <c r="I276" s="12" t="n">
        <f aca="false">H276-G276</f>
        <v>158.145526722965</v>
      </c>
      <c r="J276" s="13" t="n">
        <f aca="false">IF(G276=0,"",I276/G276)</f>
        <v>0.111927440493426</v>
      </c>
    </row>
    <row r="277" customFormat="false" ht="15" hidden="false" customHeight="false" outlineLevel="0" collapsed="false">
      <c r="A277" s="3" t="n">
        <v>50946</v>
      </c>
      <c r="B277" s="3" t="n">
        <v>187568</v>
      </c>
      <c r="C277" s="18" t="n">
        <v>854</v>
      </c>
      <c r="D277" s="18" t="n">
        <v>854</v>
      </c>
      <c r="E277" s="19" t="n">
        <v>333.894981929234</v>
      </c>
      <c r="F277" s="19" t="n">
        <v>368.398579331695</v>
      </c>
      <c r="G277" s="12" t="n">
        <f aca="false">E277/Combined_Summary!$B$23</f>
        <v>1335.57992771694</v>
      </c>
      <c r="H277" s="12" t="n">
        <f aca="false">F277/Combined_Summary!$B$23</f>
        <v>1473.59431732678</v>
      </c>
      <c r="I277" s="12" t="n">
        <f aca="false">H277-G277</f>
        <v>138.014389609843</v>
      </c>
      <c r="J277" s="13" t="n">
        <f aca="false">IF(G277=0,"",I277/G277)</f>
        <v>0.103336675511265</v>
      </c>
    </row>
    <row r="278" customFormat="false" ht="15" hidden="false" customHeight="false" outlineLevel="0" collapsed="false">
      <c r="A278" s="3" t="n">
        <v>50947</v>
      </c>
      <c r="B278" s="3" t="n">
        <v>187579</v>
      </c>
      <c r="C278" s="18" t="n">
        <v>807</v>
      </c>
      <c r="D278" s="18" t="n">
        <v>807</v>
      </c>
      <c r="E278" s="19" t="n">
        <v>352.445474617543</v>
      </c>
      <c r="F278" s="19" t="n">
        <v>386.586893206931</v>
      </c>
      <c r="G278" s="12" t="n">
        <f aca="false">E278/Combined_Summary!$B$23</f>
        <v>1409.78189847017</v>
      </c>
      <c r="H278" s="12" t="n">
        <f aca="false">F278/Combined_Summary!$B$23</f>
        <v>1546.34757282772</v>
      </c>
      <c r="I278" s="12" t="n">
        <f aca="false">H278-G278</f>
        <v>136.56567435755</v>
      </c>
      <c r="J278" s="13" t="n">
        <f aca="false">IF(G278=0,"",I278/G278)</f>
        <v>0.0968700722471643</v>
      </c>
    </row>
    <row r="279" customFormat="false" ht="15" hidden="false" customHeight="false" outlineLevel="0" collapsed="false">
      <c r="A279" s="3" t="n">
        <v>50948</v>
      </c>
      <c r="B279" s="3" t="n">
        <v>187643</v>
      </c>
      <c r="C279" s="18" t="n">
        <v>571</v>
      </c>
      <c r="D279" s="18" t="n">
        <v>571</v>
      </c>
      <c r="E279" s="19" t="n">
        <v>315.23002636537</v>
      </c>
      <c r="F279" s="19" t="n">
        <v>346.848540698584</v>
      </c>
      <c r="G279" s="12" t="n">
        <f aca="false">E279/Combined_Summary!$B$23</f>
        <v>1260.92010546148</v>
      </c>
      <c r="H279" s="12" t="n">
        <f aca="false">F279/Combined_Summary!$B$23</f>
        <v>1387.39416279434</v>
      </c>
      <c r="I279" s="12" t="n">
        <f aca="false">H279-G279</f>
        <v>126.474057332856</v>
      </c>
      <c r="J279" s="13" t="n">
        <f aca="false">IF(G279=0,"",I279/G279)</f>
        <v>0.100302990478979</v>
      </c>
    </row>
    <row r="280" customFormat="false" ht="15" hidden="false" customHeight="false" outlineLevel="0" collapsed="false">
      <c r="A280" s="3" t="n">
        <v>50949</v>
      </c>
      <c r="B280" s="3" t="n">
        <v>187607</v>
      </c>
      <c r="C280" s="18" t="n">
        <v>660</v>
      </c>
      <c r="D280" s="18" t="n">
        <v>660</v>
      </c>
      <c r="E280" s="19" t="n">
        <v>327.240890757243</v>
      </c>
      <c r="F280" s="19" t="n">
        <v>362.772053157922</v>
      </c>
      <c r="G280" s="12" t="n">
        <f aca="false">E280/Combined_Summary!$B$23</f>
        <v>1308.96356302897</v>
      </c>
      <c r="H280" s="12" t="n">
        <f aca="false">F280/Combined_Summary!$B$23</f>
        <v>1451.08821263169</v>
      </c>
      <c r="I280" s="12" t="n">
        <f aca="false">H280-G280</f>
        <v>142.124649602717</v>
      </c>
      <c r="J280" s="13" t="n">
        <f aca="false">IF(G280=0,"",I280/G280)</f>
        <v>0.108578002945962</v>
      </c>
    </row>
    <row r="281" customFormat="false" ht="15" hidden="false" customHeight="false" outlineLevel="0" collapsed="false">
      <c r="A281" s="3" t="n">
        <v>50961</v>
      </c>
      <c r="B281" s="3" t="n">
        <v>182520</v>
      </c>
      <c r="C281" s="18" t="n">
        <v>445</v>
      </c>
      <c r="D281" s="18" t="n">
        <v>445</v>
      </c>
      <c r="E281" s="19" t="n">
        <v>340.393173980713</v>
      </c>
      <c r="F281" s="19" t="n">
        <v>367.382810305478</v>
      </c>
      <c r="G281" s="12" t="n">
        <f aca="false">E281/Combined_Summary!$B$23</f>
        <v>1361.57269592285</v>
      </c>
      <c r="H281" s="12" t="n">
        <f aca="false">F281/Combined_Summary!$B$23</f>
        <v>1469.53124122191</v>
      </c>
      <c r="I281" s="12" t="n">
        <f aca="false">H281-G281</f>
        <v>107.958545299058</v>
      </c>
      <c r="J281" s="13" t="n">
        <f aca="false">IF(G281=0,"",I281/G281)</f>
        <v>0.079289593293354</v>
      </c>
    </row>
    <row r="282" customFormat="false" ht="15" hidden="false" customHeight="false" outlineLevel="0" collapsed="false">
      <c r="A282" s="3" t="n">
        <v>50962</v>
      </c>
      <c r="B282" s="3" t="n">
        <v>187640</v>
      </c>
      <c r="C282" s="18" t="n">
        <v>537</v>
      </c>
      <c r="D282" s="18" t="n">
        <v>537</v>
      </c>
      <c r="E282" s="19" t="n">
        <v>349.343962671149</v>
      </c>
      <c r="F282" s="19" t="n">
        <v>382.333172561958</v>
      </c>
      <c r="G282" s="12" t="n">
        <f aca="false">E282/Combined_Summary!$B$23</f>
        <v>1397.37585068459</v>
      </c>
      <c r="H282" s="12" t="n">
        <f aca="false">F282/Combined_Summary!$B$23</f>
        <v>1529.33269024783</v>
      </c>
      <c r="I282" s="12" t="n">
        <f aca="false">H282-G282</f>
        <v>131.956839563238</v>
      </c>
      <c r="J282" s="13" t="n">
        <f aca="false">IF(G282=0,"",I282/G282)</f>
        <v>0.094431887812138</v>
      </c>
    </row>
    <row r="283" customFormat="false" ht="15" hidden="false" customHeight="false" outlineLevel="0" collapsed="false">
      <c r="A283" s="3" t="n">
        <v>50963</v>
      </c>
      <c r="B283" s="3" t="n">
        <v>187641</v>
      </c>
      <c r="C283" s="18" t="n">
        <v>574</v>
      </c>
      <c r="D283" s="18" t="n">
        <v>574</v>
      </c>
      <c r="E283" s="19" t="n">
        <v>321.044168133354</v>
      </c>
      <c r="F283" s="19" t="n">
        <v>357.162678868098</v>
      </c>
      <c r="G283" s="12" t="n">
        <f aca="false">E283/Combined_Summary!$B$23</f>
        <v>1284.17667253341</v>
      </c>
      <c r="H283" s="12" t="n">
        <f aca="false">F283/Combined_Summary!$B$23</f>
        <v>1428.65071547239</v>
      </c>
      <c r="I283" s="12" t="n">
        <f aca="false">H283-G283</f>
        <v>144.474042938977</v>
      </c>
      <c r="J283" s="13" t="n">
        <f aca="false">IF(G283=0,"",I283/G283)</f>
        <v>0.112503245097857</v>
      </c>
    </row>
    <row r="284" customFormat="false" ht="15" hidden="false" customHeight="false" outlineLevel="0" collapsed="false">
      <c r="A284" s="3" t="n">
        <v>50981</v>
      </c>
      <c r="B284" s="3" t="n">
        <v>187427</v>
      </c>
      <c r="C284" s="18" t="n">
        <v>288</v>
      </c>
      <c r="D284" s="18" t="n">
        <v>288</v>
      </c>
      <c r="E284" s="19" t="n">
        <v>293.374252253109</v>
      </c>
      <c r="F284" s="19" t="n">
        <v>343.89335348871</v>
      </c>
      <c r="G284" s="12" t="n">
        <f aca="false">E284/Combined_Summary!$B$23</f>
        <v>1173.49700901243</v>
      </c>
      <c r="H284" s="12" t="n">
        <f aca="false">F284/Combined_Summary!$B$23</f>
        <v>1375.57341395484</v>
      </c>
      <c r="I284" s="12" t="n">
        <f aca="false">H284-G284</f>
        <v>202.076404942407</v>
      </c>
      <c r="J284" s="13" t="n">
        <f aca="false">IF(G284=0,"",I284/G284)</f>
        <v>0.172200187465723</v>
      </c>
    </row>
    <row r="285" customFormat="false" ht="15" hidden="false" customHeight="false" outlineLevel="0" collapsed="false">
      <c r="A285" s="3" t="n">
        <v>50982</v>
      </c>
      <c r="B285" s="3" t="n">
        <v>187436</v>
      </c>
      <c r="C285" s="18" t="n">
        <v>540</v>
      </c>
      <c r="D285" s="18" t="n">
        <v>540</v>
      </c>
      <c r="E285" s="19" t="n">
        <v>353.000284223203</v>
      </c>
      <c r="F285" s="19" t="n">
        <v>376.758258070769</v>
      </c>
      <c r="G285" s="12" t="n">
        <f aca="false">E285/Combined_Summary!$B$23</f>
        <v>1412.00113689281</v>
      </c>
      <c r="H285" s="12" t="n">
        <f aca="false">F285/Combined_Summary!$B$23</f>
        <v>1507.03303228308</v>
      </c>
      <c r="I285" s="12" t="n">
        <f aca="false">H285-G285</f>
        <v>95.0318953902636</v>
      </c>
      <c r="J285" s="13" t="n">
        <f aca="false">IF(G285=0,"",I285/G285)</f>
        <v>0.0673029878710909</v>
      </c>
    </row>
    <row r="286" customFormat="false" ht="15" hidden="false" customHeight="false" outlineLevel="0" collapsed="false">
      <c r="A286" s="3" t="n">
        <v>51003</v>
      </c>
      <c r="B286" s="3" t="n">
        <v>187429</v>
      </c>
      <c r="C286" s="18" t="n">
        <v>422</v>
      </c>
      <c r="D286" s="18" t="n">
        <v>422</v>
      </c>
      <c r="E286" s="19" t="n">
        <v>323.127911771078</v>
      </c>
      <c r="F286" s="19" t="n">
        <v>356.357988981274</v>
      </c>
      <c r="G286" s="12" t="n">
        <f aca="false">E286/Combined_Summary!$B$23</f>
        <v>1292.51164708431</v>
      </c>
      <c r="H286" s="12" t="n">
        <f aca="false">F286/Combined_Summary!$B$23</f>
        <v>1425.4319559251</v>
      </c>
      <c r="I286" s="12" t="n">
        <f aca="false">H286-G286</f>
        <v>132.920308840783</v>
      </c>
      <c r="J286" s="13" t="n">
        <f aca="false">IF(G286=0,"",I286/G286)</f>
        <v>0.10283877065296</v>
      </c>
    </row>
    <row r="287" customFormat="false" ht="15" hidden="false" customHeight="false" outlineLevel="0" collapsed="false">
      <c r="A287" s="3" t="n">
        <v>51004</v>
      </c>
      <c r="B287" s="3" t="n">
        <v>188666</v>
      </c>
      <c r="C287" s="18" t="n">
        <v>632</v>
      </c>
      <c r="D287" s="18" t="n">
        <v>632</v>
      </c>
      <c r="E287" s="19" t="n">
        <v>339.527334044251</v>
      </c>
      <c r="F287" s="19" t="n">
        <v>369.265595158444</v>
      </c>
      <c r="G287" s="12" t="n">
        <f aca="false">E287/Combined_Summary!$B$23</f>
        <v>1358.109336177</v>
      </c>
      <c r="H287" s="12" t="n">
        <f aca="false">F287/Combined_Summary!$B$23</f>
        <v>1477.06238063378</v>
      </c>
      <c r="I287" s="12" t="n">
        <f aca="false">H287-G287</f>
        <v>118.953044456772</v>
      </c>
      <c r="J287" s="13" t="n">
        <f aca="false">IF(G287=0,"",I287/G287)</f>
        <v>0.0875872371156934</v>
      </c>
    </row>
    <row r="288" customFormat="false" ht="15" hidden="false" customHeight="false" outlineLevel="0" collapsed="false">
      <c r="A288" s="3" t="n">
        <v>51005</v>
      </c>
      <c r="B288" s="3" t="n">
        <v>31325</v>
      </c>
      <c r="C288" s="18" t="n">
        <v>2374</v>
      </c>
      <c r="D288" s="18" t="n">
        <v>2374</v>
      </c>
      <c r="E288" s="19" t="n">
        <v>318.019676418995</v>
      </c>
      <c r="F288" s="19" t="n">
        <v>347.669637533829</v>
      </c>
      <c r="G288" s="12" t="n">
        <f aca="false">E288/Combined_Summary!$B$23</f>
        <v>1272.07870567598</v>
      </c>
      <c r="H288" s="12" t="n">
        <f aca="false">F288/Combined_Summary!$B$23</f>
        <v>1390.67855013532</v>
      </c>
      <c r="I288" s="12" t="n">
        <f aca="false">H288-G288</f>
        <v>118.599844459334</v>
      </c>
      <c r="J288" s="13" t="n">
        <f aca="false">IF(G288=0,"",I288/G288)</f>
        <v>0.093233102582525</v>
      </c>
    </row>
    <row r="289" customFormat="false" ht="15" hidden="false" customHeight="false" outlineLevel="0" collapsed="false">
      <c r="A289" s="3" t="n">
        <v>51006</v>
      </c>
      <c r="B289" s="3" t="n">
        <v>638060</v>
      </c>
      <c r="C289" s="18" t="n">
        <v>16</v>
      </c>
      <c r="D289" s="18" t="n">
        <v>16</v>
      </c>
      <c r="E289" s="19" t="n">
        <v>351.410614967346</v>
      </c>
      <c r="F289" s="19" t="n">
        <v>395.072953224182</v>
      </c>
      <c r="G289" s="12" t="n">
        <f aca="false">E289/Combined_Summary!$B$23</f>
        <v>1405.64245986938</v>
      </c>
      <c r="H289" s="12" t="n">
        <f aca="false">F289/Combined_Summary!$B$23</f>
        <v>1580.29181289673</v>
      </c>
      <c r="I289" s="12" t="n">
        <f aca="false">H289-G289</f>
        <v>174.649353027344</v>
      </c>
      <c r="J289" s="13" t="n">
        <f aca="false">IF(G289=0,"",I289/G289)</f>
        <v>0.124248774502424</v>
      </c>
    </row>
    <row r="290" customFormat="false" ht="15" hidden="false" customHeight="false" outlineLevel="0" collapsed="false">
      <c r="A290" s="3" t="n">
        <v>51027</v>
      </c>
      <c r="B290" s="3" t="n">
        <v>180964</v>
      </c>
      <c r="C290" s="18" t="n">
        <v>498</v>
      </c>
      <c r="D290" s="18" t="n">
        <v>498</v>
      </c>
      <c r="E290" s="19" t="n">
        <v>359.024684691525</v>
      </c>
      <c r="F290" s="19" t="n">
        <v>391.500812239436</v>
      </c>
      <c r="G290" s="12" t="n">
        <f aca="false">E290/Combined_Summary!$B$23</f>
        <v>1436.0987387661</v>
      </c>
      <c r="H290" s="12" t="n">
        <f aca="false">F290/Combined_Summary!$B$23</f>
        <v>1566.00324895774</v>
      </c>
      <c r="I290" s="12" t="n">
        <f aca="false">H290-G290</f>
        <v>129.904510191645</v>
      </c>
      <c r="J290" s="13" t="n">
        <f aca="false">IF(G290=0,"",I290/G290)</f>
        <v>0.0904565310761707</v>
      </c>
    </row>
    <row r="291" customFormat="false" ht="15" hidden="false" customHeight="false" outlineLevel="0" collapsed="false">
      <c r="A291" s="3" t="n">
        <v>51028</v>
      </c>
      <c r="B291" s="3" t="n">
        <v>180963</v>
      </c>
      <c r="C291" s="18" t="n">
        <v>439</v>
      </c>
      <c r="D291" s="18" t="n">
        <v>439</v>
      </c>
      <c r="E291" s="19" t="n">
        <v>359.466193909526</v>
      </c>
      <c r="F291" s="19" t="n">
        <v>381.903570292479</v>
      </c>
      <c r="G291" s="12" t="n">
        <f aca="false">E291/Combined_Summary!$B$23</f>
        <v>1437.8647756381</v>
      </c>
      <c r="H291" s="12" t="n">
        <f aca="false">F291/Combined_Summary!$B$23</f>
        <v>1527.61428116992</v>
      </c>
      <c r="I291" s="12" t="n">
        <f aca="false">H291-G291</f>
        <v>89.7495055318148</v>
      </c>
      <c r="J291" s="13" t="n">
        <f aca="false">IF(G291=0,"",I291/G291)</f>
        <v>0.0624185994764252</v>
      </c>
    </row>
    <row r="292" customFormat="false" ht="15" hidden="false" customHeight="false" outlineLevel="0" collapsed="false">
      <c r="A292" s="3" t="n">
        <v>51029</v>
      </c>
      <c r="B292" s="3" t="n">
        <v>188664</v>
      </c>
      <c r="C292" s="18" t="n">
        <v>666</v>
      </c>
      <c r="D292" s="18" t="n">
        <v>666</v>
      </c>
      <c r="E292" s="19" t="n">
        <v>346.718066401668</v>
      </c>
      <c r="F292" s="19" t="n">
        <v>375.942267569694</v>
      </c>
      <c r="G292" s="12" t="n">
        <f aca="false">E292/Combined_Summary!$B$23</f>
        <v>1386.87226560667</v>
      </c>
      <c r="H292" s="12" t="n">
        <f aca="false">F292/Combined_Summary!$B$23</f>
        <v>1503.76907027877</v>
      </c>
      <c r="I292" s="12" t="n">
        <f aca="false">H292-G292</f>
        <v>116.896804672104</v>
      </c>
      <c r="J292" s="13" t="n">
        <f aca="false">IF(G292=0,"",I292/G292)</f>
        <v>0.0842880830275804</v>
      </c>
    </row>
    <row r="293" customFormat="false" ht="15" hidden="false" customHeight="false" outlineLevel="0" collapsed="false">
      <c r="A293" s="3" t="n">
        <v>51046</v>
      </c>
      <c r="B293" s="3" t="n">
        <v>182473</v>
      </c>
      <c r="C293" s="18" t="n">
        <v>602</v>
      </c>
      <c r="D293" s="18" t="n">
        <v>602</v>
      </c>
      <c r="E293" s="19" t="n">
        <v>361.094663499598</v>
      </c>
      <c r="F293" s="19" t="n">
        <v>388.102205004011</v>
      </c>
      <c r="G293" s="12" t="n">
        <f aca="false">E293/Combined_Summary!$B$23</f>
        <v>1444.37865399839</v>
      </c>
      <c r="H293" s="12" t="n">
        <f aca="false">F293/Combined_Summary!$B$23</f>
        <v>1552.40882001604</v>
      </c>
      <c r="I293" s="12" t="n">
        <f aca="false">H293-G293</f>
        <v>108.030166017653</v>
      </c>
      <c r="J293" s="13" t="n">
        <f aca="false">IF(G293=0,"",I293/G293)</f>
        <v>0.0747935215731686</v>
      </c>
    </row>
    <row r="294" customFormat="false" ht="15" hidden="false" customHeight="false" outlineLevel="0" collapsed="false">
      <c r="A294" s="3" t="n">
        <v>51060</v>
      </c>
      <c r="B294" s="3" t="n">
        <v>180949</v>
      </c>
      <c r="C294" s="18" t="n">
        <v>633</v>
      </c>
      <c r="D294" s="18" t="n">
        <v>633</v>
      </c>
      <c r="E294" s="19" t="n">
        <v>349.579839661223</v>
      </c>
      <c r="F294" s="19" t="n">
        <v>369.376360948994</v>
      </c>
      <c r="G294" s="12" t="n">
        <f aca="false">E294/Combined_Summary!$B$23</f>
        <v>1398.31935864489</v>
      </c>
      <c r="H294" s="12" t="n">
        <f aca="false">F294/Combined_Summary!$B$23</f>
        <v>1477.50544379597</v>
      </c>
      <c r="I294" s="12" t="n">
        <f aca="false">H294-G294</f>
        <v>79.1860851510821</v>
      </c>
      <c r="J294" s="13" t="n">
        <f aca="false">IF(G294=0,"",I294/G294)</f>
        <v>0.056629470701043</v>
      </c>
    </row>
    <row r="295" customFormat="false" ht="15" hidden="false" customHeight="false" outlineLevel="0" collapsed="false">
      <c r="A295" s="3" t="n">
        <v>51061</v>
      </c>
      <c r="B295" s="3" t="n">
        <v>180960</v>
      </c>
      <c r="C295" s="18" t="n">
        <v>488</v>
      </c>
      <c r="D295" s="18" t="n">
        <v>488</v>
      </c>
      <c r="E295" s="19" t="n">
        <v>340.937320115136</v>
      </c>
      <c r="F295" s="19" t="n">
        <v>366.134020039293</v>
      </c>
      <c r="G295" s="12" t="n">
        <f aca="false">E295/Combined_Summary!$B$23</f>
        <v>1363.74928046055</v>
      </c>
      <c r="H295" s="12" t="n">
        <f aca="false">F295/Combined_Summary!$B$23</f>
        <v>1464.53608015717</v>
      </c>
      <c r="I295" s="12" t="n">
        <f aca="false">H295-G295</f>
        <v>100.786799696625</v>
      </c>
      <c r="J295" s="13" t="n">
        <f aca="false">IF(G295=0,"",I295/G295)</f>
        <v>0.073904200090642</v>
      </c>
    </row>
    <row r="296" customFormat="false" ht="15" hidden="false" customHeight="false" outlineLevel="0" collapsed="false">
      <c r="A296" s="3" t="n">
        <v>51062</v>
      </c>
      <c r="B296" s="3" t="n">
        <v>188679</v>
      </c>
      <c r="C296" s="18" t="n">
        <v>675</v>
      </c>
      <c r="D296" s="18" t="n">
        <v>675</v>
      </c>
      <c r="E296" s="19" t="n">
        <v>358.700715682418</v>
      </c>
      <c r="F296" s="19" t="n">
        <v>382.886429918077</v>
      </c>
      <c r="G296" s="12" t="n">
        <f aca="false">E296/Combined_Summary!$B$23</f>
        <v>1434.80286272967</v>
      </c>
      <c r="H296" s="12" t="n">
        <f aca="false">F296/Combined_Summary!$B$23</f>
        <v>1531.54571967231</v>
      </c>
      <c r="I296" s="12" t="n">
        <f aca="false">H296-G296</f>
        <v>96.7428569426359</v>
      </c>
      <c r="J296" s="13" t="n">
        <f aca="false">IF(G296=0,"",I296/G296)</f>
        <v>0.0674258878732547</v>
      </c>
    </row>
    <row r="297" customFormat="false" ht="15" hidden="false" customHeight="false" outlineLevel="0" collapsed="false">
      <c r="A297" s="3" t="n">
        <v>51063</v>
      </c>
      <c r="B297" s="3" t="n">
        <v>188671</v>
      </c>
      <c r="C297" s="18" t="n">
        <v>547</v>
      </c>
      <c r="D297" s="18" t="n">
        <v>547</v>
      </c>
      <c r="E297" s="19" t="n">
        <v>349.450158155814</v>
      </c>
      <c r="F297" s="19" t="n">
        <v>375.331980564041</v>
      </c>
      <c r="G297" s="12" t="n">
        <f aca="false">E297/Combined_Summary!$B$23</f>
        <v>1397.80063262326</v>
      </c>
      <c r="H297" s="12" t="n">
        <f aca="false">F297/Combined_Summary!$B$23</f>
        <v>1501.32792225616</v>
      </c>
      <c r="I297" s="12" t="n">
        <f aca="false">H297-G297</f>
        <v>103.527289632905</v>
      </c>
      <c r="J297" s="13" t="n">
        <f aca="false">IF(G297=0,"",I297/G297)</f>
        <v>0.0740644174975191</v>
      </c>
    </row>
    <row r="298" customFormat="false" ht="15" hidden="false" customHeight="false" outlineLevel="0" collapsed="false">
      <c r="A298" s="3" t="n">
        <v>51064</v>
      </c>
      <c r="B298" s="3" t="n">
        <v>638061</v>
      </c>
      <c r="C298" s="18" t="n">
        <v>16</v>
      </c>
      <c r="D298" s="18" t="n">
        <v>16</v>
      </c>
      <c r="E298" s="19" t="n">
        <v>332.220849990845</v>
      </c>
      <c r="F298" s="19" t="n">
        <v>355.472278594971</v>
      </c>
      <c r="G298" s="12" t="n">
        <f aca="false">E298/Combined_Summary!$B$23</f>
        <v>1328.88339996338</v>
      </c>
      <c r="H298" s="12" t="n">
        <f aca="false">F298/Combined_Summary!$B$23</f>
        <v>1421.88911437988</v>
      </c>
      <c r="I298" s="12" t="n">
        <f aca="false">H298-G298</f>
        <v>93.0057144165039</v>
      </c>
      <c r="J298" s="13" t="n">
        <f aca="false">IF(G298=0,"",I298/G298)</f>
        <v>0.06998786682042</v>
      </c>
    </row>
    <row r="299" customFormat="false" ht="15" hidden="false" customHeight="false" outlineLevel="0" collapsed="false">
      <c r="A299" s="3" t="n">
        <v>51079</v>
      </c>
      <c r="B299" s="3" t="n">
        <v>180945</v>
      </c>
      <c r="C299" s="18" t="n">
        <v>315</v>
      </c>
      <c r="D299" s="18" t="n">
        <v>315</v>
      </c>
      <c r="E299" s="19" t="n">
        <v>399.528114427839</v>
      </c>
      <c r="F299" s="19" t="n">
        <v>417.989970519051</v>
      </c>
      <c r="G299" s="12" t="n">
        <f aca="false">E299/Combined_Summary!$B$23</f>
        <v>1598.11245771136</v>
      </c>
      <c r="H299" s="12" t="n">
        <f aca="false">F299/Combined_Summary!$B$23</f>
        <v>1671.9598820762</v>
      </c>
      <c r="I299" s="12" t="n">
        <f aca="false">H299-G299</f>
        <v>73.8474243648468</v>
      </c>
      <c r="J299" s="13" t="n">
        <f aca="false">IF(G299=0,"",I299/G299)</f>
        <v>0.0462091538104916</v>
      </c>
    </row>
    <row r="300" customFormat="false" ht="15" hidden="false" customHeight="false" outlineLevel="0" collapsed="false">
      <c r="A300" s="3" t="n">
        <v>51080</v>
      </c>
      <c r="B300" s="3" t="n">
        <v>180983</v>
      </c>
      <c r="C300" s="18" t="n">
        <v>877</v>
      </c>
      <c r="D300" s="18" t="n">
        <v>877</v>
      </c>
      <c r="E300" s="19" t="n">
        <v>363.683450931562</v>
      </c>
      <c r="F300" s="19" t="n">
        <v>386.484571693969</v>
      </c>
      <c r="G300" s="12" t="n">
        <f aca="false">E300/Combined_Summary!$B$23</f>
        <v>1454.73380372625</v>
      </c>
      <c r="H300" s="12" t="n">
        <f aca="false">F300/Combined_Summary!$B$23</f>
        <v>1545.93828677587</v>
      </c>
      <c r="I300" s="12" t="n">
        <f aca="false">H300-G300</f>
        <v>91.2044830496257</v>
      </c>
      <c r="J300" s="13" t="n">
        <f aca="false">IF(G300=0,"",I300/G300)</f>
        <v>0.062694963721891</v>
      </c>
    </row>
    <row r="301" customFormat="false" ht="15" hidden="false" customHeight="false" outlineLevel="0" collapsed="false">
      <c r="A301" s="3" t="n">
        <v>51081</v>
      </c>
      <c r="B301" s="3" t="n">
        <v>635073</v>
      </c>
      <c r="C301" s="18" t="n">
        <v>16</v>
      </c>
      <c r="D301" s="18" t="n">
        <v>16</v>
      </c>
      <c r="E301" s="19" t="n">
        <v>343.87544631958</v>
      </c>
      <c r="F301" s="19" t="n">
        <v>356.167657852173</v>
      </c>
      <c r="G301" s="12" t="n">
        <f aca="false">E301/Combined_Summary!$B$23</f>
        <v>1375.50178527832</v>
      </c>
      <c r="H301" s="12" t="n">
        <f aca="false">F301/Combined_Summary!$B$23</f>
        <v>1424.67063140869</v>
      </c>
      <c r="I301" s="12" t="n">
        <f aca="false">H301-G301</f>
        <v>49.1688461303713</v>
      </c>
      <c r="J301" s="13" t="n">
        <f aca="false">IF(G301=0,"",I301/G301)</f>
        <v>0.0357461158223233</v>
      </c>
    </row>
    <row r="302" customFormat="false" ht="15" hidden="false" customHeight="false" outlineLevel="0" collapsed="false">
      <c r="A302" s="3" t="n">
        <v>51104</v>
      </c>
      <c r="B302" s="3" t="n">
        <v>180959</v>
      </c>
      <c r="C302" s="18" t="n">
        <v>692</v>
      </c>
      <c r="D302" s="18" t="n">
        <v>692</v>
      </c>
      <c r="E302" s="19" t="n">
        <v>334.394927482385</v>
      </c>
      <c r="F302" s="19" t="n">
        <v>361.237656698062</v>
      </c>
      <c r="G302" s="12" t="n">
        <f aca="false">E302/Combined_Summary!$B$23</f>
        <v>1337.57970992954</v>
      </c>
      <c r="H302" s="12" t="n">
        <f aca="false">F302/Combined_Summary!$B$23</f>
        <v>1444.95062679225</v>
      </c>
      <c r="I302" s="12" t="n">
        <f aca="false">H302-G302</f>
        <v>107.370916862708</v>
      </c>
      <c r="J302" s="13" t="n">
        <f aca="false">IF(G302=0,"",I302/G302)</f>
        <v>0.0802725370799504</v>
      </c>
    </row>
    <row r="303" customFormat="false" ht="15" hidden="false" customHeight="false" outlineLevel="0" collapsed="false">
      <c r="A303" s="3" t="n">
        <v>51105</v>
      </c>
      <c r="B303" s="3" t="n">
        <v>187419</v>
      </c>
      <c r="C303" s="18" t="n">
        <v>785</v>
      </c>
      <c r="D303" s="18" t="n">
        <v>785</v>
      </c>
      <c r="E303" s="19" t="n">
        <v>332.567848681796</v>
      </c>
      <c r="F303" s="19" t="n">
        <v>364.861329563408</v>
      </c>
      <c r="G303" s="12" t="n">
        <f aca="false">E303/Combined_Summary!$B$23</f>
        <v>1330.27139472718</v>
      </c>
      <c r="H303" s="12" t="n">
        <f aca="false">F303/Combined_Summary!$B$23</f>
        <v>1459.44531825363</v>
      </c>
      <c r="I303" s="12" t="n">
        <f aca="false">H303-G303</f>
        <v>129.173923526449</v>
      </c>
      <c r="J303" s="13" t="n">
        <f aca="false">IF(G303=0,"",I303/G303)</f>
        <v>0.0971034362149386</v>
      </c>
    </row>
    <row r="304" customFormat="false" ht="15" hidden="false" customHeight="false" outlineLevel="0" collapsed="false">
      <c r="A304" s="3" t="n">
        <v>51106</v>
      </c>
      <c r="B304" s="3" t="n">
        <v>187683</v>
      </c>
      <c r="C304" s="18" t="n">
        <v>530</v>
      </c>
      <c r="D304" s="18" t="n">
        <v>530</v>
      </c>
      <c r="E304" s="19" t="n">
        <v>354.045205890008</v>
      </c>
      <c r="F304" s="19" t="n">
        <v>380.298527901128</v>
      </c>
      <c r="G304" s="12" t="n">
        <f aca="false">E304/Combined_Summary!$B$23</f>
        <v>1416.18082356003</v>
      </c>
      <c r="H304" s="12" t="n">
        <f aca="false">F304/Combined_Summary!$B$23</f>
        <v>1521.19411160451</v>
      </c>
      <c r="I304" s="12" t="n">
        <f aca="false">H304-G304</f>
        <v>105.01328804448</v>
      </c>
      <c r="J304" s="13" t="n">
        <f aca="false">IF(G304=0,"",I304/G304)</f>
        <v>0.0741524572974336</v>
      </c>
    </row>
    <row r="305" customFormat="false" ht="15" hidden="false" customHeight="false" outlineLevel="0" collapsed="false">
      <c r="A305" s="3" t="n">
        <v>51126</v>
      </c>
      <c r="B305" s="3" t="n">
        <v>181016</v>
      </c>
      <c r="C305" s="18" t="n">
        <v>654</v>
      </c>
      <c r="D305" s="18" t="n">
        <v>654</v>
      </c>
      <c r="E305" s="19" t="n">
        <v>366.033093782011</v>
      </c>
      <c r="F305" s="19" t="n">
        <v>393.268573282691</v>
      </c>
      <c r="G305" s="12" t="n">
        <f aca="false">E305/Combined_Summary!$B$23</f>
        <v>1464.13237512804</v>
      </c>
      <c r="H305" s="12" t="n">
        <f aca="false">F305/Combined_Summary!$B$23</f>
        <v>1573.07429313076</v>
      </c>
      <c r="I305" s="12" t="n">
        <f aca="false">H305-G305</f>
        <v>108.941918002721</v>
      </c>
      <c r="J305" s="13" t="n">
        <f aca="false">IF(G305=0,"",I305/G305)</f>
        <v>0.0744071505100033</v>
      </c>
    </row>
    <row r="306" customFormat="false" ht="15" hidden="false" customHeight="false" outlineLevel="0" collapsed="false">
      <c r="A306" s="3" t="n">
        <v>51127</v>
      </c>
      <c r="B306" s="3" t="n">
        <v>594064</v>
      </c>
      <c r="C306" s="18" t="n">
        <v>16</v>
      </c>
      <c r="D306" s="18" t="n">
        <v>16</v>
      </c>
      <c r="E306" s="19" t="n">
        <v>397.922674179077</v>
      </c>
      <c r="F306" s="19" t="n">
        <v>418.681684494019</v>
      </c>
      <c r="G306" s="12" t="n">
        <f aca="false">E306/Combined_Summary!$B$23</f>
        <v>1591.69069671631</v>
      </c>
      <c r="H306" s="12" t="n">
        <f aca="false">F306/Combined_Summary!$B$23</f>
        <v>1674.72673797607</v>
      </c>
      <c r="I306" s="12" t="n">
        <f aca="false">H306-G306</f>
        <v>83.0360412597661</v>
      </c>
      <c r="J306" s="13" t="n">
        <f aca="false">IF(G306=0,"",I306/G306)</f>
        <v>0.0521684529733517</v>
      </c>
    </row>
    <row r="307" customFormat="false" ht="15" hidden="false" customHeight="false" outlineLevel="0" collapsed="false">
      <c r="A307" s="3" t="n">
        <v>51128</v>
      </c>
      <c r="B307" s="3" t="n">
        <v>181021</v>
      </c>
      <c r="C307" s="18" t="n">
        <v>589</v>
      </c>
      <c r="D307" s="18" t="n">
        <v>589</v>
      </c>
      <c r="E307" s="19" t="n">
        <v>331.515713398647</v>
      </c>
      <c r="F307" s="19" t="n">
        <v>355.522301873044</v>
      </c>
      <c r="G307" s="12" t="n">
        <f aca="false">E307/Combined_Summary!$B$23</f>
        <v>1326.06285359459</v>
      </c>
      <c r="H307" s="12" t="n">
        <f aca="false">F307/Combined_Summary!$B$23</f>
        <v>1422.08920749217</v>
      </c>
      <c r="I307" s="12" t="n">
        <f aca="false">H307-G307</f>
        <v>96.0263538975867</v>
      </c>
      <c r="J307" s="13" t="n">
        <f aca="false">IF(G307=0,"",I307/G307)</f>
        <v>0.07241463226067</v>
      </c>
    </row>
    <row r="308" customFormat="false" ht="15" hidden="false" customHeight="false" outlineLevel="0" collapsed="false">
      <c r="A308" s="3" t="n">
        <v>51129</v>
      </c>
      <c r="B308" s="3" t="n">
        <v>182385</v>
      </c>
      <c r="C308" s="18" t="n">
        <v>640</v>
      </c>
      <c r="D308" s="18" t="n">
        <v>640</v>
      </c>
      <c r="E308" s="19" t="n">
        <v>340.820191514492</v>
      </c>
      <c r="F308" s="19" t="n">
        <v>364.183687591553</v>
      </c>
      <c r="G308" s="12" t="n">
        <f aca="false">E308/Combined_Summary!$B$23</f>
        <v>1363.28076605797</v>
      </c>
      <c r="H308" s="12" t="n">
        <f aca="false">F308/Combined_Summary!$B$23</f>
        <v>1456.73475036621</v>
      </c>
      <c r="I308" s="12" t="n">
        <f aca="false">H308-G308</f>
        <v>93.4539843082428</v>
      </c>
      <c r="J308" s="13" t="n">
        <f aca="false">IF(G308=0,"",I308/G308)</f>
        <v>0.0685507979243866</v>
      </c>
    </row>
    <row r="309" customFormat="false" ht="15" hidden="false" customHeight="false" outlineLevel="0" collapsed="false">
      <c r="A309" s="3" t="n">
        <v>51147</v>
      </c>
      <c r="B309" s="3" t="n">
        <v>181026</v>
      </c>
      <c r="C309" s="18" t="n">
        <v>564</v>
      </c>
      <c r="D309" s="18" t="n">
        <v>564</v>
      </c>
      <c r="E309" s="19" t="n">
        <v>333.035263156215</v>
      </c>
      <c r="F309" s="19" t="n">
        <v>361.708428646656</v>
      </c>
      <c r="G309" s="12" t="n">
        <f aca="false">E309/Combined_Summary!$B$23</f>
        <v>1332.14105262486</v>
      </c>
      <c r="H309" s="12" t="n">
        <f aca="false">F309/Combined_Summary!$B$23</f>
        <v>1446.83371458662</v>
      </c>
      <c r="I309" s="12" t="n">
        <f aca="false">H309-G309</f>
        <v>114.692661961765</v>
      </c>
      <c r="J309" s="13" t="n">
        <f aca="false">IF(G309=0,"",I309/G309)</f>
        <v>0.0860964848547939</v>
      </c>
    </row>
    <row r="310" customFormat="false" ht="15" hidden="false" customHeight="false" outlineLevel="0" collapsed="false">
      <c r="A310" s="3" t="n">
        <v>51148</v>
      </c>
      <c r="B310" s="3" t="n">
        <v>182388</v>
      </c>
      <c r="C310" s="18" t="n">
        <v>535</v>
      </c>
      <c r="D310" s="18" t="n">
        <v>535</v>
      </c>
      <c r="E310" s="19" t="n">
        <v>328.06103981945</v>
      </c>
      <c r="F310" s="19" t="n">
        <v>351.909749282409</v>
      </c>
      <c r="G310" s="12" t="n">
        <f aca="false">E310/Combined_Summary!$B$23</f>
        <v>1312.2441592778</v>
      </c>
      <c r="H310" s="12" t="n">
        <f aca="false">F310/Combined_Summary!$B$23</f>
        <v>1407.63899712964</v>
      </c>
      <c r="I310" s="12" t="n">
        <f aca="false">H310-G310</f>
        <v>95.3948378518364</v>
      </c>
      <c r="J310" s="13" t="n">
        <f aca="false">IF(G310=0,"",I310/G310)</f>
        <v>0.0726959515707332</v>
      </c>
    </row>
    <row r="311" customFormat="false" ht="15" hidden="false" customHeight="false" outlineLevel="0" collapsed="false">
      <c r="A311" s="3" t="n">
        <v>51149</v>
      </c>
      <c r="B311" s="3" t="n">
        <v>182387</v>
      </c>
      <c r="C311" s="18" t="n">
        <v>460</v>
      </c>
      <c r="D311" s="18" t="n">
        <v>460</v>
      </c>
      <c r="E311" s="19" t="n">
        <v>327.677848633476</v>
      </c>
      <c r="F311" s="19" t="n">
        <v>358.836896315865</v>
      </c>
      <c r="G311" s="12" t="n">
        <f aca="false">E311/Combined_Summary!$B$23</f>
        <v>1310.7113945339</v>
      </c>
      <c r="H311" s="12" t="n">
        <f aca="false">F311/Combined_Summary!$B$23</f>
        <v>1435.34758526346</v>
      </c>
      <c r="I311" s="12" t="n">
        <f aca="false">H311-G311</f>
        <v>124.636190729556</v>
      </c>
      <c r="J311" s="13" t="n">
        <f aca="false">IF(G311=0,"",I311/G311)</f>
        <v>0.0950904915066199</v>
      </c>
    </row>
    <row r="312" customFormat="false" ht="15" hidden="false" customHeight="false" outlineLevel="0" collapsed="false">
      <c r="A312" s="3" t="n">
        <v>51150</v>
      </c>
      <c r="B312" s="3" t="n">
        <v>187763</v>
      </c>
      <c r="C312" s="18" t="n">
        <v>530</v>
      </c>
      <c r="D312" s="18" t="n">
        <v>530</v>
      </c>
      <c r="E312" s="19" t="n">
        <v>299.644397498077</v>
      </c>
      <c r="F312" s="19" t="n">
        <v>332.794394424726</v>
      </c>
      <c r="G312" s="12" t="n">
        <f aca="false">E312/Combined_Summary!$B$23</f>
        <v>1198.57758999231</v>
      </c>
      <c r="H312" s="12" t="n">
        <f aca="false">F312/Combined_Summary!$B$23</f>
        <v>1331.17757769891</v>
      </c>
      <c r="I312" s="12" t="n">
        <f aca="false">H312-G312</f>
        <v>132.599987706599</v>
      </c>
      <c r="J312" s="13" t="n">
        <f aca="false">IF(G312=0,"",I312/G312)</f>
        <v>0.110631125438821</v>
      </c>
    </row>
    <row r="313" customFormat="false" ht="15" hidden="false" customHeight="false" outlineLevel="0" collapsed="false">
      <c r="A313" s="3" t="n">
        <v>51169</v>
      </c>
      <c r="B313" s="3" t="n">
        <v>181024</v>
      </c>
      <c r="C313" s="18" t="n">
        <v>617</v>
      </c>
      <c r="D313" s="18" t="n">
        <v>617</v>
      </c>
      <c r="E313" s="19" t="n">
        <v>336.743389024534</v>
      </c>
      <c r="F313" s="19" t="n">
        <v>365.668907635409</v>
      </c>
      <c r="G313" s="12" t="n">
        <f aca="false">E313/Combined_Summary!$B$23</f>
        <v>1346.97355609813</v>
      </c>
      <c r="H313" s="12" t="n">
        <f aca="false">F313/Combined_Summary!$B$23</f>
        <v>1462.67563054164</v>
      </c>
      <c r="I313" s="12" t="n">
        <f aca="false">H313-G313</f>
        <v>115.702074443502</v>
      </c>
      <c r="J313" s="13" t="n">
        <f aca="false">IF(G313=0,"",I313/G313)</f>
        <v>0.0858978069166138</v>
      </c>
    </row>
    <row r="314" customFormat="false" ht="15" hidden="false" customHeight="false" outlineLevel="0" collapsed="false">
      <c r="A314" s="3" t="n">
        <v>51170</v>
      </c>
      <c r="B314" s="3" t="n">
        <v>187747</v>
      </c>
      <c r="C314" s="18" t="n">
        <v>502</v>
      </c>
      <c r="D314" s="18" t="n">
        <v>502</v>
      </c>
      <c r="E314" s="19" t="n">
        <v>367.74905401587</v>
      </c>
      <c r="F314" s="19" t="n">
        <v>394.726230028616</v>
      </c>
      <c r="G314" s="12" t="n">
        <f aca="false">E314/Combined_Summary!$B$23</f>
        <v>1470.99621606348</v>
      </c>
      <c r="H314" s="12" t="n">
        <f aca="false">F314/Combined_Summary!$B$23</f>
        <v>1578.90492011446</v>
      </c>
      <c r="I314" s="12" t="n">
        <f aca="false">H314-G314</f>
        <v>107.908704050983</v>
      </c>
      <c r="J314" s="13" t="n">
        <f aca="false">IF(G314=0,"",I314/G314)</f>
        <v>0.0733575673904566</v>
      </c>
    </row>
    <row r="315" customFormat="false" ht="15" hidden="false" customHeight="false" outlineLevel="0" collapsed="false">
      <c r="A315" s="3" t="n">
        <v>51187</v>
      </c>
      <c r="B315" s="3" t="n">
        <v>181013</v>
      </c>
      <c r="C315" s="18" t="n">
        <v>854</v>
      </c>
      <c r="D315" s="18" t="n">
        <v>854</v>
      </c>
      <c r="E315" s="19" t="n">
        <v>353.254002716279</v>
      </c>
      <c r="F315" s="19" t="n">
        <v>384.271809812452</v>
      </c>
      <c r="G315" s="12" t="n">
        <f aca="false">E315/Combined_Summary!$B$23</f>
        <v>1413.01601086512</v>
      </c>
      <c r="H315" s="12" t="n">
        <f aca="false">F315/Combined_Summary!$B$23</f>
        <v>1537.08723924981</v>
      </c>
      <c r="I315" s="12" t="n">
        <f aca="false">H315-G315</f>
        <v>124.071228384692</v>
      </c>
      <c r="J315" s="13" t="n">
        <f aca="false">IF(G315=0,"",I315/G315)</f>
        <v>0.0878059607468496</v>
      </c>
    </row>
    <row r="316" customFormat="false" ht="15" hidden="false" customHeight="false" outlineLevel="0" collapsed="false">
      <c r="A316" s="3" t="n">
        <v>51188</v>
      </c>
      <c r="B316" s="3" t="n">
        <v>594063</v>
      </c>
      <c r="C316" s="18" t="n">
        <v>16</v>
      </c>
      <c r="D316" s="18" t="n">
        <v>16</v>
      </c>
      <c r="E316" s="19" t="n">
        <v>389.110336303711</v>
      </c>
      <c r="F316" s="19" t="n">
        <v>448.056859970093</v>
      </c>
      <c r="G316" s="12" t="n">
        <f aca="false">E316/Combined_Summary!$B$23</f>
        <v>1556.44134521484</v>
      </c>
      <c r="H316" s="12" t="n">
        <f aca="false">F316/Combined_Summary!$B$23</f>
        <v>1792.22743988037</v>
      </c>
      <c r="I316" s="12" t="n">
        <f aca="false">H316-G316</f>
        <v>235.786094665528</v>
      </c>
      <c r="J316" s="13" t="n">
        <f aca="false">IF(G316=0,"",I316/G316)</f>
        <v>0.151490510959782</v>
      </c>
    </row>
    <row r="317" customFormat="false" ht="15" hidden="false" customHeight="false" outlineLevel="0" collapsed="false">
      <c r="A317" s="3" t="n">
        <v>51189</v>
      </c>
      <c r="B317" s="3" t="n">
        <v>61480</v>
      </c>
      <c r="C317" s="18" t="n">
        <v>4729</v>
      </c>
      <c r="D317" s="18" t="n">
        <v>4729</v>
      </c>
      <c r="E317" s="19" t="n">
        <v>303.56365260485</v>
      </c>
      <c r="F317" s="19" t="n">
        <v>341.399351793153</v>
      </c>
      <c r="G317" s="12" t="n">
        <f aca="false">E317/Combined_Summary!$B$23</f>
        <v>1214.2546104194</v>
      </c>
      <c r="H317" s="12" t="n">
        <f aca="false">F317/Combined_Summary!$B$23</f>
        <v>1365.59740717261</v>
      </c>
      <c r="I317" s="12" t="n">
        <f aca="false">H317-G317</f>
        <v>151.342796753214</v>
      </c>
      <c r="J317" s="13" t="n">
        <f aca="false">IF(G317=0,"",I317/G317)</f>
        <v>0.124638436992173</v>
      </c>
    </row>
    <row r="318" customFormat="false" ht="15" hidden="false" customHeight="false" outlineLevel="0" collapsed="false">
      <c r="A318" s="3" t="n">
        <v>51190</v>
      </c>
      <c r="B318" s="3" t="n">
        <v>182416</v>
      </c>
      <c r="C318" s="18" t="n">
        <v>469</v>
      </c>
      <c r="D318" s="18" t="n">
        <v>469</v>
      </c>
      <c r="E318" s="19" t="n">
        <v>337.069409742538</v>
      </c>
      <c r="F318" s="19" t="n">
        <v>371.51792289555</v>
      </c>
      <c r="G318" s="12" t="n">
        <f aca="false">E318/Combined_Summary!$B$23</f>
        <v>1348.27763897015</v>
      </c>
      <c r="H318" s="12" t="n">
        <f aca="false">F318/Combined_Summary!$B$23</f>
        <v>1486.0716915822</v>
      </c>
      <c r="I318" s="12" t="n">
        <f aca="false">H318-G318</f>
        <v>137.794052612044</v>
      </c>
      <c r="J318" s="13" t="n">
        <f aca="false">IF(G318=0,"",I318/G318)</f>
        <v>0.102200057784311</v>
      </c>
    </row>
    <row r="319" customFormat="false" ht="15" hidden="false" customHeight="false" outlineLevel="0" collapsed="false">
      <c r="A319" s="3" t="n">
        <v>51191</v>
      </c>
      <c r="B319" s="3" t="n">
        <v>568125</v>
      </c>
      <c r="C319" s="18" t="n">
        <v>16</v>
      </c>
      <c r="D319" s="18" t="n">
        <v>16</v>
      </c>
      <c r="E319" s="19" t="n">
        <v>387.611885070801</v>
      </c>
      <c r="F319" s="19" t="n">
        <v>402.006393432617</v>
      </c>
      <c r="G319" s="12" t="n">
        <f aca="false">E319/Combined_Summary!$B$23</f>
        <v>1550.4475402832</v>
      </c>
      <c r="H319" s="12" t="n">
        <f aca="false">F319/Combined_Summary!$B$23</f>
        <v>1608.02557373047</v>
      </c>
      <c r="I319" s="12" t="n">
        <f aca="false">H319-G319</f>
        <v>57.5780334472656</v>
      </c>
      <c r="J319" s="13" t="n">
        <f aca="false">IF(G319=0,"",I319/G319)</f>
        <v>0.0371363957510929</v>
      </c>
    </row>
    <row r="320" customFormat="false" ht="15" hidden="false" customHeight="false" outlineLevel="0" collapsed="false">
      <c r="A320" s="3" t="n">
        <v>51208</v>
      </c>
      <c r="B320" s="3" t="n">
        <v>638465</v>
      </c>
      <c r="C320" s="18" t="n">
        <v>16</v>
      </c>
      <c r="D320" s="18" t="n">
        <v>16</v>
      </c>
      <c r="E320" s="19" t="n">
        <v>259.68821144104</v>
      </c>
      <c r="F320" s="19" t="n">
        <v>296.256683349609</v>
      </c>
      <c r="G320" s="12" t="n">
        <f aca="false">E320/Combined_Summary!$B$23</f>
        <v>1038.75284576416</v>
      </c>
      <c r="H320" s="12" t="n">
        <f aca="false">F320/Combined_Summary!$B$23</f>
        <v>1185.02673339844</v>
      </c>
      <c r="I320" s="12" t="n">
        <f aca="false">H320-G320</f>
        <v>146.273887634278</v>
      </c>
      <c r="J320" s="13" t="n">
        <f aca="false">IF(G320=0,"",I320/G320)</f>
        <v>0.140816834563443</v>
      </c>
    </row>
    <row r="321" customFormat="false" ht="15" hidden="false" customHeight="false" outlineLevel="0" collapsed="false">
      <c r="A321" s="3" t="n">
        <v>51209</v>
      </c>
      <c r="B321" s="3" t="n">
        <v>187777</v>
      </c>
      <c r="C321" s="18" t="n">
        <v>405</v>
      </c>
      <c r="D321" s="18" t="n">
        <v>405</v>
      </c>
      <c r="E321" s="19" t="n">
        <v>348.859933490518</v>
      </c>
      <c r="F321" s="19" t="n">
        <v>377.919120279948</v>
      </c>
      <c r="G321" s="12" t="n">
        <f aca="false">E321/Combined_Summary!$B$23</f>
        <v>1395.43973396207</v>
      </c>
      <c r="H321" s="12" t="n">
        <f aca="false">F321/Combined_Summary!$B$23</f>
        <v>1511.67648111979</v>
      </c>
      <c r="I321" s="12" t="n">
        <f aca="false">H321-G321</f>
        <v>116.236747157721</v>
      </c>
      <c r="J321" s="13" t="n">
        <f aca="false">IF(G321=0,"",I321/G321)</f>
        <v>0.0832975759029664</v>
      </c>
    </row>
    <row r="322" customFormat="false" ht="15" hidden="false" customHeight="false" outlineLevel="0" collapsed="false">
      <c r="A322" s="3" t="n">
        <v>51210</v>
      </c>
      <c r="B322" s="3" t="n">
        <v>570023</v>
      </c>
      <c r="C322" s="18" t="n">
        <v>16</v>
      </c>
      <c r="D322" s="18" t="n">
        <v>16</v>
      </c>
      <c r="E322" s="19" t="n">
        <v>345.516397476196</v>
      </c>
      <c r="F322" s="19" t="n">
        <v>356.382923126221</v>
      </c>
      <c r="G322" s="12" t="n">
        <f aca="false">E322/Combined_Summary!$B$23</f>
        <v>1382.06558990479</v>
      </c>
      <c r="H322" s="12" t="n">
        <f aca="false">F322/Combined_Summary!$B$23</f>
        <v>1425.53169250488</v>
      </c>
      <c r="I322" s="12" t="n">
        <f aca="false">H322-G322</f>
        <v>43.4661026000977</v>
      </c>
      <c r="J322" s="13" t="n">
        <f aca="false">IF(G322=0,"",I322/G322)</f>
        <v>0.0314501011511995</v>
      </c>
    </row>
    <row r="323" customFormat="false" ht="15" hidden="false" customHeight="false" outlineLevel="0" collapsed="false">
      <c r="A323" s="3" t="n">
        <v>51225</v>
      </c>
      <c r="B323" s="3" t="n">
        <v>182508</v>
      </c>
      <c r="C323" s="18" t="n">
        <v>543</v>
      </c>
      <c r="D323" s="18" t="n">
        <v>543</v>
      </c>
      <c r="E323" s="19" t="n">
        <v>344.097301237271</v>
      </c>
      <c r="F323" s="19" t="n">
        <v>364.362017285538</v>
      </c>
      <c r="G323" s="12" t="n">
        <f aca="false">E323/Combined_Summary!$B$23</f>
        <v>1376.38920494909</v>
      </c>
      <c r="H323" s="12" t="n">
        <f aca="false">F323/Combined_Summary!$B$23</f>
        <v>1457.44806914215</v>
      </c>
      <c r="I323" s="12" t="n">
        <f aca="false">H323-G323</f>
        <v>81.0588641930681</v>
      </c>
      <c r="J323" s="13" t="n">
        <f aca="false">IF(G323=0,"",I323/G323)</f>
        <v>0.058892400421047</v>
      </c>
    </row>
    <row r="324" customFormat="false" ht="15" hidden="false" customHeight="false" outlineLevel="0" collapsed="false">
      <c r="A324" s="3" t="n">
        <v>51226</v>
      </c>
      <c r="B324" s="3" t="n">
        <v>182412</v>
      </c>
      <c r="C324" s="18" t="n">
        <v>678</v>
      </c>
      <c r="D324" s="18" t="n">
        <v>678</v>
      </c>
      <c r="E324" s="19" t="n">
        <v>338.229274907295</v>
      </c>
      <c r="F324" s="19" t="n">
        <v>368.426484459621</v>
      </c>
      <c r="G324" s="12" t="n">
        <f aca="false">E324/Combined_Summary!$B$23</f>
        <v>1352.91709962918</v>
      </c>
      <c r="H324" s="12" t="n">
        <f aca="false">F324/Combined_Summary!$B$23</f>
        <v>1473.70593783848</v>
      </c>
      <c r="I324" s="12" t="n">
        <f aca="false">H324-G324</f>
        <v>120.788838209304</v>
      </c>
      <c r="J324" s="13" t="n">
        <f aca="false">IF(G324=0,"",I324/G324)</f>
        <v>0.089280295328081</v>
      </c>
    </row>
    <row r="325" customFormat="false" ht="15" hidden="false" customHeight="false" outlineLevel="0" collapsed="false">
      <c r="A325" s="3" t="n">
        <v>51227</v>
      </c>
      <c r="B325" s="3" t="n">
        <v>187752</v>
      </c>
      <c r="C325" s="18" t="n">
        <v>865</v>
      </c>
      <c r="D325" s="18" t="n">
        <v>865</v>
      </c>
      <c r="E325" s="19" t="n">
        <v>337.804466309299</v>
      </c>
      <c r="F325" s="19" t="n">
        <v>367.691779569946</v>
      </c>
      <c r="G325" s="12" t="n">
        <f aca="false">E325/Combined_Summary!$B$23</f>
        <v>1351.2178652372</v>
      </c>
      <c r="H325" s="12" t="n">
        <f aca="false">F325/Combined_Summary!$B$23</f>
        <v>1470.76711827978</v>
      </c>
      <c r="I325" s="12" t="n">
        <f aca="false">H325-G325</f>
        <v>119.549253042585</v>
      </c>
      <c r="J325" s="13" t="n">
        <f aca="false">IF(G325=0,"",I325/G325)</f>
        <v>0.0884751868060882</v>
      </c>
    </row>
    <row r="326" customFormat="false" ht="15" hidden="false" customHeight="false" outlineLevel="0" collapsed="false">
      <c r="A326" s="3" t="n">
        <v>51228</v>
      </c>
      <c r="B326" s="3" t="n">
        <v>640543</v>
      </c>
      <c r="C326" s="18" t="n">
        <v>16</v>
      </c>
      <c r="D326" s="18" t="n">
        <v>16</v>
      </c>
      <c r="E326" s="19" t="n">
        <v>248.161714553833</v>
      </c>
      <c r="F326" s="19" t="n">
        <v>293.991220474243</v>
      </c>
      <c r="G326" s="12" t="n">
        <f aca="false">E326/Combined_Summary!$B$23</f>
        <v>992.646858215332</v>
      </c>
      <c r="H326" s="12" t="n">
        <f aca="false">F326/Combined_Summary!$B$23</f>
        <v>1175.96488189697</v>
      </c>
      <c r="I326" s="12" t="n">
        <f aca="false">H326-G326</f>
        <v>183.318023681641</v>
      </c>
      <c r="J326" s="13" t="n">
        <f aca="false">IF(G326=0,"",I326/G326)</f>
        <v>0.184675972290111</v>
      </c>
    </row>
    <row r="327" customFormat="false" ht="15" hidden="false" customHeight="false" outlineLevel="0" collapsed="false">
      <c r="A327" s="3" t="n">
        <v>51229</v>
      </c>
      <c r="B327" s="3" t="n">
        <v>187783</v>
      </c>
      <c r="C327" s="18" t="n">
        <v>586</v>
      </c>
      <c r="D327" s="18" t="n">
        <v>586</v>
      </c>
      <c r="E327" s="19" t="n">
        <v>354.151687713206</v>
      </c>
      <c r="F327" s="19" t="n">
        <v>381.499617163232</v>
      </c>
      <c r="G327" s="12" t="n">
        <f aca="false">E327/Combined_Summary!$B$23</f>
        <v>1416.60675085283</v>
      </c>
      <c r="H327" s="12" t="n">
        <f aca="false">F327/Combined_Summary!$B$23</f>
        <v>1525.99846865293</v>
      </c>
      <c r="I327" s="12" t="n">
        <f aca="false">H327-G327</f>
        <v>109.391717800101</v>
      </c>
      <c r="J327" s="13" t="n">
        <f aca="false">IF(G327=0,"",I327/G327)</f>
        <v>0.0772209490984319</v>
      </c>
    </row>
    <row r="328" customFormat="false" ht="15" hidden="false" customHeight="false" outlineLevel="0" collapsed="false">
      <c r="A328" s="3" t="n">
        <v>51247</v>
      </c>
      <c r="B328" s="3" t="n">
        <v>635450</v>
      </c>
      <c r="C328" s="18" t="n">
        <v>16</v>
      </c>
      <c r="D328" s="18" t="n">
        <v>16</v>
      </c>
      <c r="E328" s="19" t="n">
        <v>289.657371520996</v>
      </c>
      <c r="F328" s="19" t="n">
        <v>324.597421646118</v>
      </c>
      <c r="G328" s="12" t="n">
        <f aca="false">E328/Combined_Summary!$B$23</f>
        <v>1158.62948608398</v>
      </c>
      <c r="H328" s="12" t="n">
        <f aca="false">F328/Combined_Summary!$B$23</f>
        <v>1298.38968658447</v>
      </c>
      <c r="I328" s="12" t="n">
        <f aca="false">H328-G328</f>
        <v>139.760200500489</v>
      </c>
      <c r="J328" s="13" t="n">
        <f aca="false">IF(G328=0,"",I328/G328)</f>
        <v>0.120625447720012</v>
      </c>
    </row>
    <row r="329" customFormat="false" ht="15" hidden="false" customHeight="false" outlineLevel="0" collapsed="false">
      <c r="A329" s="3" t="n">
        <v>51248</v>
      </c>
      <c r="B329" s="3" t="n">
        <v>182410</v>
      </c>
      <c r="C329" s="18" t="n">
        <v>618</v>
      </c>
      <c r="D329" s="18" t="n">
        <v>618</v>
      </c>
      <c r="E329" s="19" t="n">
        <v>345.722253682158</v>
      </c>
      <c r="F329" s="19" t="n">
        <v>371.53419376114</v>
      </c>
      <c r="G329" s="12" t="n">
        <f aca="false">E329/Combined_Summary!$B$23</f>
        <v>1382.88901472863</v>
      </c>
      <c r="H329" s="12" t="n">
        <f aca="false">F329/Combined_Summary!$B$23</f>
        <v>1486.13677504456</v>
      </c>
      <c r="I329" s="12" t="n">
        <f aca="false">H329-G329</f>
        <v>103.247760315929</v>
      </c>
      <c r="J329" s="13" t="n">
        <f aca="false">IF(G329=0,"",I329/G329)</f>
        <v>0.0746609158191843</v>
      </c>
    </row>
    <row r="330" customFormat="false" ht="15" hidden="false" customHeight="false" outlineLevel="0" collapsed="false">
      <c r="A330" s="3" t="n">
        <v>51265</v>
      </c>
      <c r="B330" s="3" t="n">
        <v>182485</v>
      </c>
      <c r="C330" s="18" t="n">
        <v>784</v>
      </c>
      <c r="D330" s="18" t="n">
        <v>784</v>
      </c>
      <c r="E330" s="19" t="n">
        <v>331.920056343079</v>
      </c>
      <c r="F330" s="19" t="n">
        <v>366.722505384562</v>
      </c>
      <c r="G330" s="12" t="n">
        <f aca="false">E330/Combined_Summary!$B$23</f>
        <v>1327.68022537231</v>
      </c>
      <c r="H330" s="12" t="n">
        <f aca="false">F330/Combined_Summary!$B$23</f>
        <v>1466.89002153825</v>
      </c>
      <c r="I330" s="12" t="n">
        <f aca="false">H330-G330</f>
        <v>139.209796165933</v>
      </c>
      <c r="J330" s="13" t="n">
        <f aca="false">IF(G330=0,"",I330/G330)</f>
        <v>0.104851901463619</v>
      </c>
    </row>
    <row r="331" customFormat="false" ht="15" hidden="false" customHeight="false" outlineLevel="0" collapsed="false">
      <c r="A331" s="3" t="n">
        <v>51266</v>
      </c>
      <c r="B331" s="3" t="n">
        <v>182486</v>
      </c>
      <c r="C331" s="18" t="n">
        <v>419</v>
      </c>
      <c r="D331" s="18" t="n">
        <v>419</v>
      </c>
      <c r="E331" s="19" t="n">
        <v>327.774474951988</v>
      </c>
      <c r="F331" s="19" t="n">
        <v>364.166491287705</v>
      </c>
      <c r="G331" s="12" t="n">
        <f aca="false">E331/Combined_Summary!$B$23</f>
        <v>1311.09789980795</v>
      </c>
      <c r="H331" s="12" t="n">
        <f aca="false">F331/Combined_Summary!$B$23</f>
        <v>1456.66596515082</v>
      </c>
      <c r="I331" s="12" t="n">
        <f aca="false">H331-G331</f>
        <v>145.568065342869</v>
      </c>
      <c r="J331" s="13" t="n">
        <f aca="false">IF(G331=0,"",I331/G331)</f>
        <v>0.111027609276311</v>
      </c>
    </row>
    <row r="332" customFormat="false" ht="15" hidden="false" customHeight="false" outlineLevel="0" collapsed="false">
      <c r="A332" s="3" t="n">
        <v>51267</v>
      </c>
      <c r="B332" s="3" t="n">
        <v>182433</v>
      </c>
      <c r="C332" s="18" t="n">
        <v>563</v>
      </c>
      <c r="D332" s="18" t="n">
        <v>563</v>
      </c>
      <c r="E332" s="19" t="n">
        <v>337.615358911653</v>
      </c>
      <c r="F332" s="19" t="n">
        <v>366.504545005134</v>
      </c>
      <c r="G332" s="12" t="n">
        <f aca="false">E332/Combined_Summary!$B$23</f>
        <v>1350.46143564661</v>
      </c>
      <c r="H332" s="12" t="n">
        <f aca="false">F332/Combined_Summary!$B$23</f>
        <v>1466.01818002054</v>
      </c>
      <c r="I332" s="12" t="n">
        <f aca="false">H332-G332</f>
        <v>115.556744373924</v>
      </c>
      <c r="J332" s="13" t="n">
        <f aca="false">IF(G332=0,"",I332/G332)</f>
        <v>0.0855683408083363</v>
      </c>
    </row>
    <row r="333" customFormat="false" ht="15" hidden="false" customHeight="false" outlineLevel="0" collapsed="false">
      <c r="A333" s="3" t="n">
        <v>51268</v>
      </c>
      <c r="B333" s="3" t="n">
        <v>182404</v>
      </c>
      <c r="C333" s="18" t="n">
        <v>725</v>
      </c>
      <c r="D333" s="18" t="n">
        <v>725</v>
      </c>
      <c r="E333" s="19" t="n">
        <v>306.394040985107</v>
      </c>
      <c r="F333" s="19" t="n">
        <v>350.164223832755</v>
      </c>
      <c r="G333" s="12" t="n">
        <f aca="false">E333/Combined_Summary!$B$23</f>
        <v>1225.57616394043</v>
      </c>
      <c r="H333" s="12" t="n">
        <f aca="false">F333/Combined_Summary!$B$23</f>
        <v>1400.65689533102</v>
      </c>
      <c r="I333" s="12" t="n">
        <f aca="false">H333-G333</f>
        <v>175.080731390591</v>
      </c>
      <c r="J333" s="13" t="n">
        <f aca="false">IF(G333=0,"",I333/G333)</f>
        <v>0.142855855508545</v>
      </c>
    </row>
    <row r="334" customFormat="false" ht="15" hidden="false" customHeight="false" outlineLevel="0" collapsed="false">
      <c r="A334" s="3" t="n">
        <v>51284</v>
      </c>
      <c r="B334" s="3" t="n">
        <v>182402</v>
      </c>
      <c r="C334" s="18" t="n">
        <v>515</v>
      </c>
      <c r="D334" s="18" t="n">
        <v>515</v>
      </c>
      <c r="E334" s="19" t="n">
        <v>331.521741633739</v>
      </c>
      <c r="F334" s="19" t="n">
        <v>356.075068205306</v>
      </c>
      <c r="G334" s="12" t="n">
        <f aca="false">E334/Combined_Summary!$B$23</f>
        <v>1326.08696653496</v>
      </c>
      <c r="H334" s="12" t="n">
        <f aca="false">F334/Combined_Summary!$B$23</f>
        <v>1424.30027282122</v>
      </c>
      <c r="I334" s="12" t="n">
        <f aca="false">H334-G334</f>
        <v>98.2133062862656</v>
      </c>
      <c r="J334" s="13" t="n">
        <f aca="false">IF(G334=0,"",I334/G334)</f>
        <v>0.0740624927058105</v>
      </c>
    </row>
    <row r="335" customFormat="false" ht="15" hidden="false" customHeight="false" outlineLevel="0" collapsed="false">
      <c r="A335" s="3" t="n">
        <v>51285</v>
      </c>
      <c r="B335" s="3" t="n">
        <v>462841</v>
      </c>
      <c r="C335" s="18" t="n">
        <v>739</v>
      </c>
      <c r="D335" s="18" t="n">
        <v>739</v>
      </c>
      <c r="E335" s="19" t="n">
        <v>290.136769781255</v>
      </c>
      <c r="F335" s="19" t="n">
        <v>333.766364813819</v>
      </c>
      <c r="G335" s="12" t="n">
        <f aca="false">E335/Combined_Summary!$B$23</f>
        <v>1160.54707912502</v>
      </c>
      <c r="H335" s="12" t="n">
        <f aca="false">F335/Combined_Summary!$B$23</f>
        <v>1335.06545925528</v>
      </c>
      <c r="I335" s="12" t="n">
        <f aca="false">H335-G335</f>
        <v>174.518380130257</v>
      </c>
      <c r="J335" s="13" t="n">
        <f aca="false">IF(G335=0,"",I335/G335)</f>
        <v>0.150375959122514</v>
      </c>
    </row>
    <row r="336" customFormat="false" ht="15" hidden="false" customHeight="false" outlineLevel="0" collapsed="false">
      <c r="A336" s="3" t="n">
        <v>51303</v>
      </c>
      <c r="B336" s="3" t="n">
        <v>182504</v>
      </c>
      <c r="C336" s="18" t="n">
        <v>666</v>
      </c>
      <c r="D336" s="18" t="n">
        <v>666</v>
      </c>
      <c r="E336" s="19" t="n">
        <v>344.954210149633</v>
      </c>
      <c r="F336" s="19" t="n">
        <v>377.716591820703</v>
      </c>
      <c r="G336" s="12" t="n">
        <f aca="false">E336/Combined_Summary!$B$23</f>
        <v>1379.81684059853</v>
      </c>
      <c r="H336" s="12" t="n">
        <f aca="false">F336/Combined_Summary!$B$23</f>
        <v>1510.86636728281</v>
      </c>
      <c r="I336" s="12" t="n">
        <f aca="false">H336-G336</f>
        <v>131.049526684277</v>
      </c>
      <c r="J336" s="13" t="n">
        <f aca="false">IF(G336=0,"",I336/G336)</f>
        <v>0.0949760307516108</v>
      </c>
    </row>
    <row r="337" customFormat="false" ht="15" hidden="false" customHeight="false" outlineLevel="0" collapsed="false">
      <c r="A337" s="3" t="n">
        <v>53840</v>
      </c>
      <c r="B337" s="3" t="n">
        <v>187516</v>
      </c>
      <c r="C337" s="18" t="n">
        <v>32</v>
      </c>
      <c r="D337" s="18" t="n">
        <v>32</v>
      </c>
      <c r="E337" s="19" t="n">
        <v>356.740343093872</v>
      </c>
      <c r="F337" s="19" t="n">
        <v>393.239912986755</v>
      </c>
      <c r="G337" s="12" t="n">
        <f aca="false">E337/Combined_Summary!$B$23</f>
        <v>1426.96137237549</v>
      </c>
      <c r="H337" s="12" t="n">
        <f aca="false">F337/Combined_Summary!$B$23</f>
        <v>1572.95965194702</v>
      </c>
      <c r="I337" s="12" t="n">
        <f aca="false">H337-G337</f>
        <v>145.998279571533</v>
      </c>
      <c r="J337" s="13" t="n">
        <f aca="false">IF(G337=0,"",I337/G337)</f>
        <v>0.102314107724225</v>
      </c>
    </row>
    <row r="338" customFormat="false" ht="15" hidden="false" customHeight="false" outlineLevel="0" collapsed="false">
      <c r="A338" s="3" t="n">
        <v>53863</v>
      </c>
      <c r="B338" s="3" t="n">
        <v>182291</v>
      </c>
      <c r="C338" s="18" t="n">
        <v>796</v>
      </c>
      <c r="D338" s="18" t="n">
        <v>796</v>
      </c>
      <c r="E338" s="19" t="n">
        <v>353.747320453126</v>
      </c>
      <c r="F338" s="19" t="n">
        <v>380.124608495128</v>
      </c>
      <c r="G338" s="12" t="n">
        <f aca="false">E338/Combined_Summary!$B$23</f>
        <v>1414.9892818125</v>
      </c>
      <c r="H338" s="12" t="n">
        <f aca="false">F338/Combined_Summary!$B$23</f>
        <v>1520.49843398051</v>
      </c>
      <c r="I338" s="12" t="n">
        <f aca="false">H338-G338</f>
        <v>105.509152168006</v>
      </c>
      <c r="J338" s="13" t="n">
        <f aca="false">IF(G338=0,"",I338/G338)</f>
        <v>0.0745653366595509</v>
      </c>
    </row>
    <row r="339" customFormat="false" ht="15" hidden="false" customHeight="false" outlineLevel="0" collapsed="false">
      <c r="A339" s="3" t="n">
        <v>53864</v>
      </c>
      <c r="B339" s="3" t="n">
        <v>187513</v>
      </c>
      <c r="C339" s="18" t="n">
        <v>290</v>
      </c>
      <c r="D339" s="18" t="n">
        <v>290</v>
      </c>
      <c r="E339" s="19" t="n">
        <v>368.271345862027</v>
      </c>
      <c r="F339" s="19" t="n">
        <v>389.32364791344</v>
      </c>
      <c r="G339" s="12" t="n">
        <f aca="false">E339/Combined_Summary!$B$23</f>
        <v>1473.08538344811</v>
      </c>
      <c r="H339" s="12" t="n">
        <f aca="false">F339/Combined_Summary!$B$23</f>
        <v>1557.29459165376</v>
      </c>
      <c r="I339" s="12" t="n">
        <f aca="false">H339-G339</f>
        <v>84.2092082056504</v>
      </c>
      <c r="J339" s="13" t="n">
        <f aca="false">IF(G339=0,"",I339/G339)</f>
        <v>0.0571651916120019</v>
      </c>
    </row>
    <row r="340" customFormat="false" ht="15" hidden="false" customHeight="false" outlineLevel="0" collapsed="false">
      <c r="A340" s="3" t="n">
        <v>53865</v>
      </c>
      <c r="B340" s="3" t="n">
        <v>187512</v>
      </c>
      <c r="C340" s="18" t="n">
        <v>428</v>
      </c>
      <c r="D340" s="18" t="n">
        <v>428</v>
      </c>
      <c r="E340" s="19" t="n">
        <v>342.497416540841</v>
      </c>
      <c r="F340" s="19" t="n">
        <v>368.282135009766</v>
      </c>
      <c r="G340" s="12" t="n">
        <f aca="false">E340/Combined_Summary!$B$23</f>
        <v>1369.98966616336</v>
      </c>
      <c r="H340" s="12" t="n">
        <f aca="false">F340/Combined_Summary!$B$23</f>
        <v>1473.12854003906</v>
      </c>
      <c r="I340" s="12" t="n">
        <f aca="false">H340-G340</f>
        <v>103.138873875698</v>
      </c>
      <c r="J340" s="13" t="n">
        <f aca="false">IF(G340=0,"",I340/G340)</f>
        <v>0.0752844174106343</v>
      </c>
    </row>
    <row r="341" customFormat="false" ht="15" hidden="false" customHeight="false" outlineLevel="0" collapsed="false">
      <c r="A341" s="3" t="n">
        <v>53866</v>
      </c>
      <c r="B341" s="3" t="n">
        <v>187557</v>
      </c>
      <c r="C341" s="18" t="n">
        <v>453</v>
      </c>
      <c r="D341" s="18" t="n">
        <v>453</v>
      </c>
      <c r="E341" s="19" t="n">
        <v>372.520382154856</v>
      </c>
      <c r="F341" s="19" t="n">
        <v>401.42164948655</v>
      </c>
      <c r="G341" s="12" t="n">
        <f aca="false">E341/Combined_Summary!$B$23</f>
        <v>1490.08152861943</v>
      </c>
      <c r="H341" s="12" t="n">
        <f aca="false">F341/Combined_Summary!$B$23</f>
        <v>1605.6865979462</v>
      </c>
      <c r="I341" s="12" t="n">
        <f aca="false">H341-G341</f>
        <v>115.605069326776</v>
      </c>
      <c r="J341" s="13" t="n">
        <f aca="false">IF(G341=0,"",I341/G341)</f>
        <v>0.0775830497233832</v>
      </c>
    </row>
    <row r="342" customFormat="false" ht="15" hidden="false" customHeight="false" outlineLevel="0" collapsed="false">
      <c r="A342" s="3" t="n">
        <v>53867</v>
      </c>
      <c r="B342" s="3" t="n">
        <v>187556</v>
      </c>
      <c r="C342" s="18" t="n">
        <v>446</v>
      </c>
      <c r="D342" s="18" t="n">
        <v>446</v>
      </c>
      <c r="E342" s="19" t="n">
        <v>353.152596469417</v>
      </c>
      <c r="F342" s="19" t="n">
        <v>388.350627676789</v>
      </c>
      <c r="G342" s="12" t="n">
        <f aca="false">E342/Combined_Summary!$B$23</f>
        <v>1412.61038587767</v>
      </c>
      <c r="H342" s="12" t="n">
        <f aca="false">F342/Combined_Summary!$B$23</f>
        <v>1553.40251070715</v>
      </c>
      <c r="I342" s="12" t="n">
        <f aca="false">H342-G342</f>
        <v>140.792124829485</v>
      </c>
      <c r="J342" s="13" t="n">
        <f aca="false">IF(G342=0,"",I342/G342)</f>
        <v>0.0996680515993866</v>
      </c>
    </row>
    <row r="343" customFormat="false" ht="15" hidden="false" customHeight="false" outlineLevel="0" collapsed="false">
      <c r="A343" s="3" t="n">
        <v>53868</v>
      </c>
      <c r="B343" s="3" t="n">
        <v>187597</v>
      </c>
      <c r="C343" s="18" t="n">
        <v>332</v>
      </c>
      <c r="D343" s="18" t="n">
        <v>332</v>
      </c>
      <c r="E343" s="19" t="n">
        <v>323.087208920215</v>
      </c>
      <c r="F343" s="19" t="n">
        <v>351.255607099418</v>
      </c>
      <c r="G343" s="12" t="n">
        <f aca="false">E343/Combined_Summary!$B$23</f>
        <v>1292.34883568086</v>
      </c>
      <c r="H343" s="12" t="n">
        <f aca="false">F343/Combined_Summary!$B$23</f>
        <v>1405.02242839767</v>
      </c>
      <c r="I343" s="12" t="n">
        <f aca="false">H343-G343</f>
        <v>112.673592716814</v>
      </c>
      <c r="J343" s="13" t="n">
        <f aca="false">IF(G343=0,"",I343/G343)</f>
        <v>0.0871851234016501</v>
      </c>
    </row>
    <row r="344" customFormat="false" ht="15" hidden="false" customHeight="false" outlineLevel="0" collapsed="false">
      <c r="A344" s="3" t="n">
        <v>53869</v>
      </c>
      <c r="B344" s="3" t="n">
        <v>187599</v>
      </c>
      <c r="C344" s="18" t="n">
        <v>523</v>
      </c>
      <c r="D344" s="18" t="n">
        <v>523</v>
      </c>
      <c r="E344" s="19" t="n">
        <v>334.660272631089</v>
      </c>
      <c r="F344" s="19" t="n">
        <v>371.910939305964</v>
      </c>
      <c r="G344" s="12" t="n">
        <f aca="false">E344/Combined_Summary!$B$23</f>
        <v>1338.64109052436</v>
      </c>
      <c r="H344" s="12" t="n">
        <f aca="false">F344/Combined_Summary!$B$23</f>
        <v>1487.64375722386</v>
      </c>
      <c r="I344" s="12" t="n">
        <f aca="false">H344-G344</f>
        <v>149.002666699499</v>
      </c>
      <c r="J344" s="13" t="n">
        <f aca="false">IF(G344=0,"",I344/G344)</f>
        <v>0.111308899565554</v>
      </c>
    </row>
    <row r="345" customFormat="false" ht="15" hidden="false" customHeight="false" outlineLevel="0" collapsed="false">
      <c r="A345" s="3" t="n">
        <v>53870</v>
      </c>
      <c r="B345" s="3" t="n">
        <v>187602</v>
      </c>
      <c r="C345" s="18" t="n">
        <v>772</v>
      </c>
      <c r="D345" s="18" t="n">
        <v>772</v>
      </c>
      <c r="E345" s="19" t="n">
        <v>286.095046013748</v>
      </c>
      <c r="F345" s="19" t="n">
        <v>325.566372975167</v>
      </c>
      <c r="G345" s="12" t="n">
        <f aca="false">E345/Combined_Summary!$B$23</f>
        <v>1144.38018405499</v>
      </c>
      <c r="H345" s="12" t="n">
        <f aca="false">F345/Combined_Summary!$B$23</f>
        <v>1302.26549190067</v>
      </c>
      <c r="I345" s="12" t="n">
        <f aca="false">H345-G345</f>
        <v>157.885307845674</v>
      </c>
      <c r="J345" s="13" t="n">
        <f aca="false">IF(G345=0,"",I345/G345)</f>
        <v>0.137965782740333</v>
      </c>
    </row>
    <row r="346" customFormat="false" ht="15" hidden="false" customHeight="false" outlineLevel="0" collapsed="false">
      <c r="A346" s="3" t="n">
        <v>53886</v>
      </c>
      <c r="B346" s="3" t="n">
        <v>187493</v>
      </c>
      <c r="C346" s="18" t="n">
        <v>313</v>
      </c>
      <c r="D346" s="18" t="n">
        <v>313</v>
      </c>
      <c r="E346" s="19" t="n">
        <v>298.80521680448</v>
      </c>
      <c r="F346" s="19" t="n">
        <v>338.308079241183</v>
      </c>
      <c r="G346" s="12" t="n">
        <f aca="false">E346/Combined_Summary!$B$23</f>
        <v>1195.22086721792</v>
      </c>
      <c r="H346" s="12" t="n">
        <f aca="false">F346/Combined_Summary!$B$23</f>
        <v>1353.23231696473</v>
      </c>
      <c r="I346" s="12" t="n">
        <f aca="false">H346-G346</f>
        <v>158.011449746811</v>
      </c>
      <c r="J346" s="13" t="n">
        <f aca="false">IF(G346=0,"",I346/G346)</f>
        <v>0.132202720083535</v>
      </c>
    </row>
    <row r="347" customFormat="false" ht="15" hidden="false" customHeight="false" outlineLevel="0" collapsed="false">
      <c r="A347" s="3" t="n">
        <v>53887</v>
      </c>
      <c r="B347" s="3" t="n">
        <v>187521</v>
      </c>
      <c r="C347" s="18" t="n">
        <v>745</v>
      </c>
      <c r="D347" s="18" t="n">
        <v>745</v>
      </c>
      <c r="E347" s="19" t="n">
        <v>354.443658211727</v>
      </c>
      <c r="F347" s="19" t="n">
        <v>377.744052615582</v>
      </c>
      <c r="G347" s="12" t="n">
        <f aca="false">E347/Combined_Summary!$B$23</f>
        <v>1417.77463284691</v>
      </c>
      <c r="H347" s="12" t="n">
        <f aca="false">F347/Combined_Summary!$B$23</f>
        <v>1510.97621046233</v>
      </c>
      <c r="I347" s="12" t="n">
        <f aca="false">H347-G347</f>
        <v>93.2015776154176</v>
      </c>
      <c r="J347" s="13" t="n">
        <f aca="false">IF(G347=0,"",I347/G347)</f>
        <v>0.0657379356747748</v>
      </c>
    </row>
    <row r="348" customFormat="false" ht="15" hidden="false" customHeight="false" outlineLevel="0" collapsed="false">
      <c r="A348" s="3" t="n">
        <v>53888</v>
      </c>
      <c r="B348" s="3" t="n">
        <v>187586</v>
      </c>
      <c r="C348" s="18" t="n">
        <v>572</v>
      </c>
      <c r="D348" s="18" t="n">
        <v>572</v>
      </c>
      <c r="E348" s="19" t="n">
        <v>322.618669676614</v>
      </c>
      <c r="F348" s="19" t="n">
        <v>362.365776275421</v>
      </c>
      <c r="G348" s="12" t="n">
        <f aca="false">E348/Combined_Summary!$B$23</f>
        <v>1290.47467870646</v>
      </c>
      <c r="H348" s="12" t="n">
        <f aca="false">F348/Combined_Summary!$B$23</f>
        <v>1449.46310510169</v>
      </c>
      <c r="I348" s="12" t="n">
        <f aca="false">H348-G348</f>
        <v>158.98842639523</v>
      </c>
      <c r="J348" s="13" t="n">
        <f aca="false">IF(G348=0,"",I348/G348)</f>
        <v>0.123201507955659</v>
      </c>
    </row>
    <row r="349" customFormat="false" ht="15" hidden="false" customHeight="false" outlineLevel="0" collapsed="false">
      <c r="A349" s="3" t="n">
        <v>53916</v>
      </c>
      <c r="B349" s="3" t="n">
        <v>187526</v>
      </c>
      <c r="C349" s="18" t="n">
        <v>504</v>
      </c>
      <c r="D349" s="18" t="n">
        <v>504</v>
      </c>
      <c r="E349" s="19" t="n">
        <v>343.314635579548</v>
      </c>
      <c r="F349" s="19" t="n">
        <v>378.342165159801</v>
      </c>
      <c r="G349" s="12" t="n">
        <f aca="false">E349/Combined_Summary!$B$23</f>
        <v>1373.25854231819</v>
      </c>
      <c r="H349" s="12" t="n">
        <f aca="false">F349/Combined_Summary!$B$23</f>
        <v>1513.3686606392</v>
      </c>
      <c r="I349" s="12" t="n">
        <f aca="false">H349-G349</f>
        <v>140.11011832101</v>
      </c>
      <c r="J349" s="13" t="n">
        <f aca="false">IF(G349=0,"",I349/G349)</f>
        <v>0.102027487179865</v>
      </c>
    </row>
    <row r="350" customFormat="false" ht="15" hidden="false" customHeight="false" outlineLevel="0" collapsed="false">
      <c r="A350" s="3" t="n">
        <v>53917</v>
      </c>
      <c r="B350" s="3" t="n">
        <v>187583</v>
      </c>
      <c r="C350" s="18" t="n">
        <v>462</v>
      </c>
      <c r="D350" s="18" t="n">
        <v>462</v>
      </c>
      <c r="E350" s="19" t="n">
        <v>362.001694823756</v>
      </c>
      <c r="F350" s="19" t="n">
        <v>390.57067846323</v>
      </c>
      <c r="G350" s="12" t="n">
        <f aca="false">E350/Combined_Summary!$B$23</f>
        <v>1448.00677929503</v>
      </c>
      <c r="H350" s="12" t="n">
        <f aca="false">F350/Combined_Summary!$B$23</f>
        <v>1562.28271385292</v>
      </c>
      <c r="I350" s="12" t="n">
        <f aca="false">H350-G350</f>
        <v>114.275934557895</v>
      </c>
      <c r="J350" s="13" t="n">
        <f aca="false">IF(G350=0,"",I350/G350)</f>
        <v>0.0789194748200908</v>
      </c>
    </row>
    <row r="351" customFormat="false" ht="15" hidden="false" customHeight="false" outlineLevel="0" collapsed="false">
      <c r="A351" s="3" t="n">
        <v>53918</v>
      </c>
      <c r="B351" s="3" t="n">
        <v>639260</v>
      </c>
      <c r="C351" s="18" t="n">
        <v>16</v>
      </c>
      <c r="D351" s="18" t="n">
        <v>16</v>
      </c>
      <c r="E351" s="19" t="n">
        <v>294.50634098053</v>
      </c>
      <c r="F351" s="19" t="n">
        <v>318.740396499634</v>
      </c>
      <c r="G351" s="12" t="n">
        <f aca="false">E351/Combined_Summary!$B$23</f>
        <v>1178.02536392212</v>
      </c>
      <c r="H351" s="12" t="n">
        <f aca="false">F351/Combined_Summary!$B$23</f>
        <v>1274.96158599854</v>
      </c>
      <c r="I351" s="12" t="n">
        <f aca="false">H351-G351</f>
        <v>96.936222076416</v>
      </c>
      <c r="J351" s="13" t="n">
        <f aca="false">IF(G351=0,"",I351/G351)</f>
        <v>0.0822870415571329</v>
      </c>
    </row>
    <row r="352" customFormat="false" ht="15" hidden="false" customHeight="false" outlineLevel="0" collapsed="false">
      <c r="A352" s="3" t="n">
        <v>53919</v>
      </c>
      <c r="B352" s="3" t="n">
        <v>594066</v>
      </c>
      <c r="C352" s="18" t="n">
        <v>16</v>
      </c>
      <c r="D352" s="18" t="n">
        <v>16</v>
      </c>
      <c r="E352" s="19" t="n">
        <v>331.035625457764</v>
      </c>
      <c r="F352" s="19" t="n">
        <v>353.679197311401</v>
      </c>
      <c r="G352" s="12" t="n">
        <f aca="false">E352/Combined_Summary!$B$23</f>
        <v>1324.14250183105</v>
      </c>
      <c r="H352" s="12" t="n">
        <f aca="false">F352/Combined_Summary!$B$23</f>
        <v>1414.71678924561</v>
      </c>
      <c r="I352" s="12" t="n">
        <f aca="false">H352-G352</f>
        <v>90.574287414551</v>
      </c>
      <c r="J352" s="13" t="n">
        <f aca="false">IF(G352=0,"",I352/G352)</f>
        <v>0.0684022205233219</v>
      </c>
    </row>
    <row r="353" customFormat="false" ht="15" hidden="false" customHeight="false" outlineLevel="0" collapsed="false">
      <c r="A353" s="3" t="n">
        <v>53920</v>
      </c>
      <c r="B353" s="3" t="n">
        <v>61535</v>
      </c>
      <c r="C353" s="18" t="n">
        <v>2137</v>
      </c>
      <c r="D353" s="18" t="n">
        <v>2137</v>
      </c>
      <c r="E353" s="19" t="n">
        <v>324.771442488303</v>
      </c>
      <c r="F353" s="19" t="n">
        <v>350.343807204393</v>
      </c>
      <c r="G353" s="12" t="n">
        <f aca="false">E353/Combined_Summary!$B$23</f>
        <v>1299.08576995321</v>
      </c>
      <c r="H353" s="12" t="n">
        <f aca="false">F353/Combined_Summary!$B$23</f>
        <v>1401.37522881757</v>
      </c>
      <c r="I353" s="12" t="n">
        <f aca="false">H353-G353</f>
        <v>102.289458864361</v>
      </c>
      <c r="J353" s="13" t="n">
        <f aca="false">IF(G353=0,"",I353/G353)</f>
        <v>0.0787395730368479</v>
      </c>
    </row>
    <row r="354" customFormat="false" ht="15" hidden="false" customHeight="false" outlineLevel="0" collapsed="false">
      <c r="A354" s="3" t="n">
        <v>53932</v>
      </c>
      <c r="B354" s="3" t="n">
        <v>182522</v>
      </c>
      <c r="C354" s="18" t="n">
        <v>691</v>
      </c>
      <c r="D354" s="18" t="n">
        <v>691</v>
      </c>
      <c r="E354" s="19" t="n">
        <v>332.966327849414</v>
      </c>
      <c r="F354" s="19" t="n">
        <v>356.049658989251</v>
      </c>
      <c r="G354" s="12" t="n">
        <f aca="false">E354/Combined_Summary!$B$23</f>
        <v>1331.86531139766</v>
      </c>
      <c r="H354" s="12" t="n">
        <f aca="false">F354/Combined_Summary!$B$23</f>
        <v>1424.198635957</v>
      </c>
      <c r="I354" s="12" t="n">
        <f aca="false">H354-G354</f>
        <v>92.3333245593456</v>
      </c>
      <c r="J354" s="13" t="n">
        <f aca="false">IF(G354=0,"",I354/G354)</f>
        <v>0.0693263228414975</v>
      </c>
    </row>
    <row r="355" customFormat="false" ht="15" hidden="false" customHeight="false" outlineLevel="0" collapsed="false">
      <c r="A355" s="3" t="n">
        <v>53933</v>
      </c>
      <c r="B355" s="3" t="n">
        <v>187563</v>
      </c>
      <c r="C355" s="18" t="n">
        <v>267</v>
      </c>
      <c r="D355" s="18" t="n">
        <v>267</v>
      </c>
      <c r="E355" s="19" t="n">
        <v>284.032649179523</v>
      </c>
      <c r="F355" s="19" t="n">
        <v>318.552955827463</v>
      </c>
      <c r="G355" s="12" t="n">
        <f aca="false">E355/Combined_Summary!$B$23</f>
        <v>1136.13059671809</v>
      </c>
      <c r="H355" s="12" t="n">
        <f aca="false">F355/Combined_Summary!$B$23</f>
        <v>1274.21182330985</v>
      </c>
      <c r="I355" s="12" t="n">
        <f aca="false">H355-G355</f>
        <v>138.08122659176</v>
      </c>
      <c r="J355" s="13" t="n">
        <f aca="false">IF(G355=0,"",I355/G355)</f>
        <v>0.121536403465087</v>
      </c>
    </row>
    <row r="356" customFormat="false" ht="15" hidden="false" customHeight="false" outlineLevel="0" collapsed="false">
      <c r="A356" s="3" t="n">
        <v>53934</v>
      </c>
      <c r="B356" s="3" t="n">
        <v>187566</v>
      </c>
      <c r="C356" s="18" t="n">
        <v>659</v>
      </c>
      <c r="D356" s="18" t="n">
        <v>659</v>
      </c>
      <c r="E356" s="19" t="n">
        <v>325.396302045206</v>
      </c>
      <c r="F356" s="19" t="n">
        <v>360.712248574982</v>
      </c>
      <c r="G356" s="12" t="n">
        <f aca="false">E356/Combined_Summary!$B$23</f>
        <v>1301.58520818082</v>
      </c>
      <c r="H356" s="12" t="n">
        <f aca="false">F356/Combined_Summary!$B$23</f>
        <v>1442.84899429993</v>
      </c>
      <c r="I356" s="12" t="n">
        <f aca="false">H356-G356</f>
        <v>141.263786119105</v>
      </c>
      <c r="J356" s="13" t="n">
        <f aca="false">IF(G356=0,"",I356/G356)</f>
        <v>0.108532107795343</v>
      </c>
    </row>
    <row r="357" customFormat="false" ht="15" hidden="false" customHeight="false" outlineLevel="0" collapsed="false">
      <c r="A357" s="3" t="n">
        <v>53935</v>
      </c>
      <c r="B357" s="3" t="n">
        <v>187581</v>
      </c>
      <c r="C357" s="18" t="n">
        <v>596</v>
      </c>
      <c r="D357" s="18" t="n">
        <v>596</v>
      </c>
      <c r="E357" s="19" t="n">
        <v>351.521331492686</v>
      </c>
      <c r="F357" s="19" t="n">
        <v>383.972844898301</v>
      </c>
      <c r="G357" s="12" t="n">
        <f aca="false">E357/Combined_Summary!$B$23</f>
        <v>1406.08532597075</v>
      </c>
      <c r="H357" s="12" t="n">
        <f aca="false">F357/Combined_Summary!$B$23</f>
        <v>1535.8913795932</v>
      </c>
      <c r="I357" s="12" t="n">
        <f aca="false">H357-G357</f>
        <v>129.806053622457</v>
      </c>
      <c r="J357" s="13" t="n">
        <f aca="false">IF(G357=0,"",I357/G357)</f>
        <v>0.0923173375220601</v>
      </c>
    </row>
    <row r="358" customFormat="false" ht="15" hidden="false" customHeight="false" outlineLevel="0" collapsed="false">
      <c r="A358" s="3" t="n">
        <v>53936</v>
      </c>
      <c r="B358" s="3" t="n">
        <v>187580</v>
      </c>
      <c r="C358" s="18" t="n">
        <v>593</v>
      </c>
      <c r="D358" s="18" t="n">
        <v>593</v>
      </c>
      <c r="E358" s="19" t="n">
        <v>332.776211878502</v>
      </c>
      <c r="F358" s="19" t="n">
        <v>367.137525780406</v>
      </c>
      <c r="G358" s="12" t="n">
        <f aca="false">E358/Combined_Summary!$B$23</f>
        <v>1331.10484751401</v>
      </c>
      <c r="H358" s="12" t="n">
        <f aca="false">F358/Combined_Summary!$B$23</f>
        <v>1468.55010312162</v>
      </c>
      <c r="I358" s="12" t="n">
        <f aca="false">H358-G358</f>
        <v>137.445255607618</v>
      </c>
      <c r="J358" s="13" t="n">
        <f aca="false">IF(G358=0,"",I358/G358)</f>
        <v>0.103256520975273</v>
      </c>
    </row>
    <row r="359" customFormat="false" ht="15" hidden="false" customHeight="false" outlineLevel="0" collapsed="false">
      <c r="A359" s="3" t="n">
        <v>53951</v>
      </c>
      <c r="B359" s="3" t="n">
        <v>463242</v>
      </c>
      <c r="C359" s="18" t="n">
        <v>338</v>
      </c>
      <c r="D359" s="18" t="n">
        <v>338</v>
      </c>
      <c r="E359" s="19" t="n">
        <v>342.540562838492</v>
      </c>
      <c r="F359" s="19" t="n">
        <v>371.349919494087</v>
      </c>
      <c r="G359" s="12" t="n">
        <f aca="false">E359/Combined_Summary!$B$23</f>
        <v>1370.16225135397</v>
      </c>
      <c r="H359" s="12" t="n">
        <f aca="false">F359/Combined_Summary!$B$23</f>
        <v>1485.39967797635</v>
      </c>
      <c r="I359" s="12" t="n">
        <f aca="false">H359-G359</f>
        <v>115.237426622379</v>
      </c>
      <c r="J359" s="13" t="n">
        <f aca="false">IF(G359=0,"",I359/G359)</f>
        <v>0.0841049492558299</v>
      </c>
    </row>
    <row r="360" customFormat="false" ht="15" hidden="false" customHeight="false" outlineLevel="0" collapsed="false">
      <c r="A360" s="3" t="n">
        <v>53952</v>
      </c>
      <c r="B360" s="3" t="n">
        <v>597226</v>
      </c>
      <c r="C360" s="18" t="n">
        <v>16</v>
      </c>
      <c r="D360" s="18" t="n">
        <v>16</v>
      </c>
      <c r="E360" s="19" t="n">
        <v>244.037305831909</v>
      </c>
      <c r="F360" s="19" t="n">
        <v>283.869553565979</v>
      </c>
      <c r="G360" s="12" t="n">
        <f aca="false">E360/Combined_Summary!$B$23</f>
        <v>976.149223327637</v>
      </c>
      <c r="H360" s="12" t="n">
        <f aca="false">F360/Combined_Summary!$B$23</f>
        <v>1135.47821426392</v>
      </c>
      <c r="I360" s="12" t="n">
        <f aca="false">H360-G360</f>
        <v>159.328990936279</v>
      </c>
      <c r="J360" s="13" t="n">
        <f aca="false">IF(G360=0,"",I360/G360)</f>
        <v>0.163221961487749</v>
      </c>
    </row>
    <row r="361" customFormat="false" ht="15" hidden="false" customHeight="false" outlineLevel="0" collapsed="false">
      <c r="A361" s="3" t="n">
        <v>53953</v>
      </c>
      <c r="B361" s="3" t="n">
        <v>182521</v>
      </c>
      <c r="C361" s="18" t="n">
        <v>427</v>
      </c>
      <c r="D361" s="18" t="n">
        <v>427</v>
      </c>
      <c r="E361" s="19" t="n">
        <v>330.090203385722</v>
      </c>
      <c r="F361" s="19" t="n">
        <v>356.574650748831</v>
      </c>
      <c r="G361" s="12" t="n">
        <f aca="false">E361/Combined_Summary!$B$23</f>
        <v>1320.36081354289</v>
      </c>
      <c r="H361" s="12" t="n">
        <f aca="false">F361/Combined_Summary!$B$23</f>
        <v>1426.29860299533</v>
      </c>
      <c r="I361" s="12" t="n">
        <f aca="false">H361-G361</f>
        <v>105.937789452439</v>
      </c>
      <c r="J361" s="13" t="n">
        <f aca="false">IF(G361=0,"",I361/G361)</f>
        <v>0.0802339696587775</v>
      </c>
    </row>
    <row r="362" customFormat="false" ht="15" hidden="false" customHeight="false" outlineLevel="0" collapsed="false">
      <c r="A362" s="3" t="n">
        <v>53954</v>
      </c>
      <c r="B362" s="3" t="n">
        <v>61531</v>
      </c>
      <c r="C362" s="18" t="n">
        <v>862</v>
      </c>
      <c r="D362" s="18" t="n">
        <v>862</v>
      </c>
      <c r="E362" s="19" t="n">
        <v>295.246031086296</v>
      </c>
      <c r="F362" s="19" t="n">
        <v>330.326479086467</v>
      </c>
      <c r="G362" s="12" t="n">
        <f aca="false">E362/Combined_Summary!$B$23</f>
        <v>1180.98412434518</v>
      </c>
      <c r="H362" s="12" t="n">
        <f aca="false">F362/Combined_Summary!$B$23</f>
        <v>1321.30591634587</v>
      </c>
      <c r="I362" s="12" t="n">
        <f aca="false">H362-G362</f>
        <v>140.321792000684</v>
      </c>
      <c r="J362" s="13" t="n">
        <f aca="false">IF(G362=0,"",I362/G362)</f>
        <v>0.118817678500537</v>
      </c>
    </row>
    <row r="363" customFormat="false" ht="15" hidden="false" customHeight="false" outlineLevel="0" collapsed="false">
      <c r="A363" s="3" t="n">
        <v>53967</v>
      </c>
      <c r="B363" s="3" t="n">
        <v>182267</v>
      </c>
      <c r="C363" s="18" t="n">
        <v>181</v>
      </c>
      <c r="D363" s="18" t="n">
        <v>181</v>
      </c>
      <c r="E363" s="19" t="n">
        <v>410.339040598158</v>
      </c>
      <c r="F363" s="19" t="n">
        <v>430.920188861657</v>
      </c>
      <c r="G363" s="12" t="n">
        <f aca="false">E363/Combined_Summary!$B$23</f>
        <v>1641.35616239263</v>
      </c>
      <c r="H363" s="12" t="n">
        <f aca="false">F363/Combined_Summary!$B$23</f>
        <v>1723.68075544663</v>
      </c>
      <c r="I363" s="12" t="n">
        <f aca="false">H363-G363</f>
        <v>82.3245930539972</v>
      </c>
      <c r="J363" s="13" t="n">
        <f aca="false">IF(G363=0,"",I363/G363)</f>
        <v>0.0501564468091991</v>
      </c>
    </row>
    <row r="364" customFormat="false" ht="15" hidden="false" customHeight="false" outlineLevel="0" collapsed="false">
      <c r="A364" s="3" t="n">
        <v>53968</v>
      </c>
      <c r="B364" s="3" t="n">
        <v>182296</v>
      </c>
      <c r="C364" s="18" t="n">
        <v>369</v>
      </c>
      <c r="D364" s="18" t="n">
        <v>369</v>
      </c>
      <c r="E364" s="19" t="n">
        <v>358.151724094298</v>
      </c>
      <c r="F364" s="19" t="n">
        <v>376.490112325363</v>
      </c>
      <c r="G364" s="12" t="n">
        <f aca="false">E364/Combined_Summary!$B$23</f>
        <v>1432.60689637719</v>
      </c>
      <c r="H364" s="12" t="n">
        <f aca="false">F364/Combined_Summary!$B$23</f>
        <v>1505.96044930145</v>
      </c>
      <c r="I364" s="12" t="n">
        <f aca="false">H364-G364</f>
        <v>73.3535529242624</v>
      </c>
      <c r="J364" s="13" t="n">
        <f aca="false">IF(G364=0,"",I364/G364)</f>
        <v>0.0512028478361793</v>
      </c>
    </row>
    <row r="365" customFormat="false" ht="15" hidden="false" customHeight="false" outlineLevel="0" collapsed="false">
      <c r="A365" s="3" t="n">
        <v>53969</v>
      </c>
      <c r="B365" s="3" t="n">
        <v>182543</v>
      </c>
      <c r="C365" s="18" t="n">
        <v>949</v>
      </c>
      <c r="D365" s="18" t="n">
        <v>949</v>
      </c>
      <c r="E365" s="19" t="n">
        <v>336.776246934093</v>
      </c>
      <c r="F365" s="19" t="n">
        <v>364.74567049949</v>
      </c>
      <c r="G365" s="12" t="n">
        <f aca="false">E365/Combined_Summary!$B$23</f>
        <v>1347.10498773637</v>
      </c>
      <c r="H365" s="12" t="n">
        <f aca="false">F365/Combined_Summary!$B$23</f>
        <v>1458.98268199796</v>
      </c>
      <c r="I365" s="12" t="n">
        <f aca="false">H365-G365</f>
        <v>111.877694261589</v>
      </c>
      <c r="J365" s="13" t="n">
        <f aca="false">IF(G365=0,"",I365/G365)</f>
        <v>0.0830504639802307</v>
      </c>
    </row>
    <row r="366" customFormat="false" ht="15" hidden="false" customHeight="false" outlineLevel="0" collapsed="false">
      <c r="A366" s="3" t="n">
        <v>53970</v>
      </c>
      <c r="B366" s="3" t="n">
        <v>182265</v>
      </c>
      <c r="C366" s="18" t="n">
        <v>883</v>
      </c>
      <c r="D366" s="18" t="n">
        <v>883</v>
      </c>
      <c r="E366" s="19" t="n">
        <v>356.488927916789</v>
      </c>
      <c r="F366" s="19" t="n">
        <v>380.461021120929</v>
      </c>
      <c r="G366" s="12" t="n">
        <f aca="false">E366/Combined_Summary!$B$23</f>
        <v>1425.95571166716</v>
      </c>
      <c r="H366" s="12" t="n">
        <f aca="false">F366/Combined_Summary!$B$23</f>
        <v>1521.84408448372</v>
      </c>
      <c r="I366" s="12" t="n">
        <f aca="false">H366-G366</f>
        <v>95.8883728165592</v>
      </c>
      <c r="J366" s="13" t="n">
        <f aca="false">IF(G366=0,"",I366/G366)</f>
        <v>0.0672449866654353</v>
      </c>
    </row>
    <row r="367" customFormat="false" ht="15" hidden="false" customHeight="false" outlineLevel="0" collapsed="false">
      <c r="A367" s="3" t="n">
        <v>53971</v>
      </c>
      <c r="B367" s="3" t="n">
        <v>182518</v>
      </c>
      <c r="C367" s="18" t="n">
        <v>457</v>
      </c>
      <c r="D367" s="18" t="n">
        <v>457</v>
      </c>
      <c r="E367" s="19" t="n">
        <v>330.881992381824</v>
      </c>
      <c r="F367" s="19" t="n">
        <v>361.661428171905</v>
      </c>
      <c r="G367" s="12" t="n">
        <f aca="false">E367/Combined_Summary!$B$23</f>
        <v>1323.5279695273</v>
      </c>
      <c r="H367" s="12" t="n">
        <f aca="false">F367/Combined_Summary!$B$23</f>
        <v>1446.64571268762</v>
      </c>
      <c r="I367" s="12" t="n">
        <f aca="false">H367-G367</f>
        <v>123.117743160323</v>
      </c>
      <c r="J367" s="13" t="n">
        <f aca="false">IF(G367=0,"",I367/G367)</f>
        <v>0.0930223961978641</v>
      </c>
    </row>
    <row r="368" customFormat="false" ht="15" hidden="false" customHeight="false" outlineLevel="0" collapsed="false">
      <c r="A368" s="3" t="n">
        <v>53972</v>
      </c>
      <c r="B368" s="3" t="n">
        <v>193696</v>
      </c>
      <c r="C368" s="18" t="n">
        <v>617</v>
      </c>
      <c r="D368" s="18" t="n">
        <v>617</v>
      </c>
      <c r="E368" s="19" t="n">
        <v>331.649630504837</v>
      </c>
      <c r="F368" s="19" t="n">
        <v>370.292922503751</v>
      </c>
      <c r="G368" s="12" t="n">
        <f aca="false">E368/Combined_Summary!$B$23</f>
        <v>1326.59852201935</v>
      </c>
      <c r="H368" s="12" t="n">
        <f aca="false">F368/Combined_Summary!$B$23</f>
        <v>1481.171690015</v>
      </c>
      <c r="I368" s="12" t="n">
        <f aca="false">H368-G368</f>
        <v>154.573167995657</v>
      </c>
      <c r="J368" s="13" t="n">
        <f aca="false">IF(G368=0,"",I368/G368)</f>
        <v>0.116518423192848</v>
      </c>
    </row>
    <row r="369" customFormat="false" ht="15" hidden="false" customHeight="false" outlineLevel="0" collapsed="false">
      <c r="A369" s="3" t="n">
        <v>53973</v>
      </c>
      <c r="B369" s="3" t="n">
        <v>182451</v>
      </c>
      <c r="C369" s="18" t="n">
        <v>590</v>
      </c>
      <c r="D369" s="18" t="n">
        <v>590</v>
      </c>
      <c r="E369" s="19" t="n">
        <v>324.386075928252</v>
      </c>
      <c r="F369" s="19" t="n">
        <v>358.020221464513</v>
      </c>
      <c r="G369" s="12" t="n">
        <f aca="false">E369/Combined_Summary!$B$23</f>
        <v>1297.54430371301</v>
      </c>
      <c r="H369" s="12" t="n">
        <f aca="false">F369/Combined_Summary!$B$23</f>
        <v>1432.08088585805</v>
      </c>
      <c r="I369" s="12" t="n">
        <f aca="false">H369-G369</f>
        <v>134.536582145044</v>
      </c>
      <c r="J369" s="13" t="n">
        <f aca="false">IF(G369=0,"",I369/G369)</f>
        <v>0.103685540262525</v>
      </c>
    </row>
    <row r="370" customFormat="false" ht="15" hidden="false" customHeight="false" outlineLevel="0" collapsed="false">
      <c r="A370" s="3" t="n">
        <v>53974</v>
      </c>
      <c r="B370" s="3" t="n">
        <v>31223</v>
      </c>
      <c r="C370" s="18" t="n">
        <v>815</v>
      </c>
      <c r="D370" s="18" t="n">
        <v>815</v>
      </c>
      <c r="E370" s="19" t="n">
        <v>298.254911939937</v>
      </c>
      <c r="F370" s="19" t="n">
        <v>324.419974035719</v>
      </c>
      <c r="G370" s="12" t="n">
        <f aca="false">E370/Combined_Summary!$B$23</f>
        <v>1193.01964775975</v>
      </c>
      <c r="H370" s="12" t="n">
        <f aca="false">F370/Combined_Summary!$B$23</f>
        <v>1297.67989614288</v>
      </c>
      <c r="I370" s="12" t="n">
        <f aca="false">H370-G370</f>
        <v>104.66024838313</v>
      </c>
      <c r="J370" s="13" t="n">
        <f aca="false">IF(G370=0,"",I370/G370)</f>
        <v>0.087727179162272</v>
      </c>
    </row>
    <row r="371" customFormat="false" ht="15" hidden="false" customHeight="false" outlineLevel="0" collapsed="false">
      <c r="A371" s="3" t="n">
        <v>53987</v>
      </c>
      <c r="B371" s="3" t="n">
        <v>180965</v>
      </c>
      <c r="C371" s="18" t="n">
        <v>366</v>
      </c>
      <c r="D371" s="18" t="n">
        <v>366</v>
      </c>
      <c r="E371" s="19" t="n">
        <v>314.036333615663</v>
      </c>
      <c r="F371" s="19" t="n">
        <v>364.112596209583</v>
      </c>
      <c r="G371" s="12" t="n">
        <f aca="false">E371/Combined_Summary!$B$23</f>
        <v>1256.14533446265</v>
      </c>
      <c r="H371" s="12" t="n">
        <f aca="false">F371/Combined_Summary!$B$23</f>
        <v>1456.45038483833</v>
      </c>
      <c r="I371" s="12" t="n">
        <f aca="false">H371-G371</f>
        <v>200.305050375683</v>
      </c>
      <c r="J371" s="13" t="n">
        <f aca="false">IF(G371=0,"",I371/G371)</f>
        <v>0.159460091822392</v>
      </c>
    </row>
    <row r="372" customFormat="false" ht="15" hidden="false" customHeight="false" outlineLevel="0" collapsed="false">
      <c r="A372" s="3" t="n">
        <v>53988</v>
      </c>
      <c r="B372" s="3" t="n">
        <v>594067</v>
      </c>
      <c r="C372" s="18" t="n">
        <v>16</v>
      </c>
      <c r="D372" s="18" t="n">
        <v>16</v>
      </c>
      <c r="E372" s="19" t="n">
        <v>324.001775741577</v>
      </c>
      <c r="F372" s="19" t="n">
        <v>345.728391647339</v>
      </c>
      <c r="G372" s="12" t="n">
        <f aca="false">E372/Combined_Summary!$B$23</f>
        <v>1296.00710296631</v>
      </c>
      <c r="H372" s="12" t="n">
        <f aca="false">F372/Combined_Summary!$B$23</f>
        <v>1382.91356658936</v>
      </c>
      <c r="I372" s="12" t="n">
        <f aca="false">H372-G372</f>
        <v>86.9064636230473</v>
      </c>
      <c r="J372" s="13" t="n">
        <f aca="false">IF(G372=0,"",I372/G372)</f>
        <v>0.0670570889805583</v>
      </c>
    </row>
    <row r="373" customFormat="false" ht="15" hidden="false" customHeight="false" outlineLevel="0" collapsed="false">
      <c r="A373" s="3" t="n">
        <v>53989</v>
      </c>
      <c r="B373" s="3" t="n">
        <v>188667</v>
      </c>
      <c r="C373" s="18" t="n">
        <v>582</v>
      </c>
      <c r="D373" s="18" t="n">
        <v>582</v>
      </c>
      <c r="E373" s="19" t="n">
        <v>339.983474154653</v>
      </c>
      <c r="F373" s="19" t="n">
        <v>369.684678080975</v>
      </c>
      <c r="G373" s="12" t="n">
        <f aca="false">E373/Combined_Summary!$B$23</f>
        <v>1359.93389661861</v>
      </c>
      <c r="H373" s="12" t="n">
        <f aca="false">F373/Combined_Summary!$B$23</f>
        <v>1478.7387123239</v>
      </c>
      <c r="I373" s="12" t="n">
        <f aca="false">H373-G373</f>
        <v>118.80481570529</v>
      </c>
      <c r="J373" s="13" t="n">
        <f aca="false">IF(G373=0,"",I373/G373)</f>
        <v>0.0873607283417895</v>
      </c>
    </row>
    <row r="374" customFormat="false" ht="15" hidden="false" customHeight="false" outlineLevel="0" collapsed="false">
      <c r="A374" s="3" t="n">
        <v>53990</v>
      </c>
      <c r="B374" s="3" t="n">
        <v>187668</v>
      </c>
      <c r="C374" s="18" t="n">
        <v>598</v>
      </c>
      <c r="D374" s="18" t="n">
        <v>598</v>
      </c>
      <c r="E374" s="19" t="n">
        <v>344.180828298613</v>
      </c>
      <c r="F374" s="19" t="n">
        <v>369.980702926483</v>
      </c>
      <c r="G374" s="12" t="n">
        <f aca="false">E374/Combined_Summary!$B$23</f>
        <v>1376.72331319445</v>
      </c>
      <c r="H374" s="12" t="n">
        <f aca="false">F374/Combined_Summary!$B$23</f>
        <v>1479.92281170593</v>
      </c>
      <c r="I374" s="12" t="n">
        <f aca="false">H374-G374</f>
        <v>103.199498511477</v>
      </c>
      <c r="J374" s="13" t="n">
        <f aca="false">IF(G374=0,"",I374/G374)</f>
        <v>0.0749602316764869</v>
      </c>
    </row>
    <row r="375" customFormat="false" ht="15" hidden="false" customHeight="false" outlineLevel="0" collapsed="false">
      <c r="A375" s="3" t="n">
        <v>54012</v>
      </c>
      <c r="B375" s="3" t="n">
        <v>188686</v>
      </c>
      <c r="C375" s="18" t="n">
        <v>807</v>
      </c>
      <c r="D375" s="18" t="n">
        <v>807</v>
      </c>
      <c r="E375" s="19" t="n">
        <v>320.55846465535</v>
      </c>
      <c r="F375" s="19" t="n">
        <v>347.984796715492</v>
      </c>
      <c r="G375" s="12" t="n">
        <f aca="false">E375/Combined_Summary!$B$23</f>
        <v>1282.2338586214</v>
      </c>
      <c r="H375" s="12" t="n">
        <f aca="false">F375/Combined_Summary!$B$23</f>
        <v>1391.93918686197</v>
      </c>
      <c r="I375" s="12" t="n">
        <f aca="false">H375-G375</f>
        <v>109.705328240566</v>
      </c>
      <c r="J375" s="13" t="n">
        <f aca="false">IF(G375=0,"",I375/G375)</f>
        <v>0.0855579717404408</v>
      </c>
    </row>
    <row r="376" customFormat="false" ht="15" hidden="false" customHeight="false" outlineLevel="0" collapsed="false">
      <c r="A376" s="3" t="n">
        <v>54025</v>
      </c>
      <c r="B376" s="3" t="n">
        <v>180950</v>
      </c>
      <c r="C376" s="18" t="n">
        <v>683</v>
      </c>
      <c r="D376" s="18" t="n">
        <v>683</v>
      </c>
      <c r="E376" s="19" t="n">
        <v>346.468396512167</v>
      </c>
      <c r="F376" s="19" t="n">
        <v>366.735197745864</v>
      </c>
      <c r="G376" s="12" t="n">
        <f aca="false">E376/Combined_Summary!$B$23</f>
        <v>1385.87358604867</v>
      </c>
      <c r="H376" s="12" t="n">
        <f aca="false">F376/Combined_Summary!$B$23</f>
        <v>1466.94079098345</v>
      </c>
      <c r="I376" s="12" t="n">
        <f aca="false">H376-G376</f>
        <v>81.0672049347866</v>
      </c>
      <c r="J376" s="13" t="n">
        <f aca="false">IF(G376=0,"",I376/G376)</f>
        <v>0.0584953820830955</v>
      </c>
    </row>
    <row r="377" customFormat="false" ht="15" hidden="false" customHeight="false" outlineLevel="0" collapsed="false">
      <c r="A377" s="3" t="n">
        <v>54026</v>
      </c>
      <c r="B377" s="3" t="n">
        <v>180962</v>
      </c>
      <c r="C377" s="18" t="n">
        <v>617</v>
      </c>
      <c r="D377" s="18" t="n">
        <v>617</v>
      </c>
      <c r="E377" s="19" t="n">
        <v>373.758114961596</v>
      </c>
      <c r="F377" s="19" t="n">
        <v>397.973799904896</v>
      </c>
      <c r="G377" s="12" t="n">
        <f aca="false">E377/Combined_Summary!$B$23</f>
        <v>1495.03245984639</v>
      </c>
      <c r="H377" s="12" t="n">
        <f aca="false">F377/Combined_Summary!$B$23</f>
        <v>1591.89519961958</v>
      </c>
      <c r="I377" s="12" t="n">
        <f aca="false">H377-G377</f>
        <v>96.8627397731984</v>
      </c>
      <c r="J377" s="13" t="n">
        <f aca="false">IF(G377=0,"",I377/G377)</f>
        <v>0.0647897235509864</v>
      </c>
    </row>
    <row r="378" customFormat="false" ht="15" hidden="false" customHeight="false" outlineLevel="0" collapsed="false">
      <c r="A378" s="3" t="n">
        <v>54027</v>
      </c>
      <c r="B378" s="3" t="n">
        <v>635075</v>
      </c>
      <c r="C378" s="18" t="n">
        <v>16</v>
      </c>
      <c r="D378" s="18" t="n">
        <v>16</v>
      </c>
      <c r="E378" s="19" t="n">
        <v>259.449473381043</v>
      </c>
      <c r="F378" s="19" t="n">
        <v>284.277626991272</v>
      </c>
      <c r="G378" s="12" t="n">
        <f aca="false">E378/Combined_Summary!$B$23</f>
        <v>1037.79789352417</v>
      </c>
      <c r="H378" s="12" t="n">
        <f aca="false">F378/Combined_Summary!$B$23</f>
        <v>1137.11050796509</v>
      </c>
      <c r="I378" s="12" t="n">
        <f aca="false">H378-G378</f>
        <v>99.312614440918</v>
      </c>
      <c r="J378" s="13" t="n">
        <f aca="false">IF(G378=0,"",I378/G378)</f>
        <v>0.09569552516981</v>
      </c>
    </row>
    <row r="379" customFormat="false" ht="15" hidden="false" customHeight="false" outlineLevel="0" collapsed="false">
      <c r="A379" s="3" t="n">
        <v>54028</v>
      </c>
      <c r="B379" s="3" t="n">
        <v>567562</v>
      </c>
      <c r="C379" s="18" t="n">
        <v>16</v>
      </c>
      <c r="D379" s="18" t="n">
        <v>16</v>
      </c>
      <c r="E379" s="19" t="n">
        <v>353.403602600098</v>
      </c>
      <c r="F379" s="19" t="n">
        <v>372.928497314453</v>
      </c>
      <c r="G379" s="12" t="n">
        <f aca="false">E379/Combined_Summary!$B$23</f>
        <v>1413.61441040039</v>
      </c>
      <c r="H379" s="12" t="n">
        <f aca="false">F379/Combined_Summary!$B$23</f>
        <v>1491.71398925781</v>
      </c>
      <c r="I379" s="12" t="n">
        <f aca="false">H379-G379</f>
        <v>78.0995788574217</v>
      </c>
      <c r="J379" s="13" t="n">
        <f aca="false">IF(G379=0,"",I379/G379)</f>
        <v>0.0552481484928417</v>
      </c>
    </row>
    <row r="380" customFormat="false" ht="15" hidden="false" customHeight="false" outlineLevel="0" collapsed="false">
      <c r="A380" s="3" t="n">
        <v>54048</v>
      </c>
      <c r="B380" s="3" t="n">
        <v>180943</v>
      </c>
      <c r="C380" s="18" t="n">
        <v>491</v>
      </c>
      <c r="D380" s="18" t="n">
        <v>491</v>
      </c>
      <c r="E380" s="19" t="n">
        <v>361.797452347827</v>
      </c>
      <c r="F380" s="19" t="n">
        <v>388.241292514529</v>
      </c>
      <c r="G380" s="12" t="n">
        <f aca="false">E380/Combined_Summary!$B$23</f>
        <v>1447.18980939131</v>
      </c>
      <c r="H380" s="12" t="n">
        <f aca="false">F380/Combined_Summary!$B$23</f>
        <v>1552.96517005812</v>
      </c>
      <c r="I380" s="12" t="n">
        <f aca="false">H380-G380</f>
        <v>105.775360666807</v>
      </c>
      <c r="J380" s="13" t="n">
        <f aca="false">IF(G380=0,"",I380/G380)</f>
        <v>0.0730901779299404</v>
      </c>
    </row>
    <row r="381" customFormat="false" ht="15" hidden="false" customHeight="false" outlineLevel="0" collapsed="false">
      <c r="A381" s="3" t="n">
        <v>54049</v>
      </c>
      <c r="B381" s="3" t="n">
        <v>182378</v>
      </c>
      <c r="C381" s="18" t="n">
        <v>555</v>
      </c>
      <c r="D381" s="18" t="n">
        <v>555</v>
      </c>
      <c r="E381" s="19" t="n">
        <v>340.345499110866</v>
      </c>
      <c r="F381" s="19" t="n">
        <v>366.146790403074</v>
      </c>
      <c r="G381" s="12" t="n">
        <f aca="false">E381/Combined_Summary!$B$23</f>
        <v>1361.38199644347</v>
      </c>
      <c r="H381" s="12" t="n">
        <f aca="false">F381/Combined_Summary!$B$23</f>
        <v>1464.5871616123</v>
      </c>
      <c r="I381" s="12" t="n">
        <f aca="false">H381-G381</f>
        <v>103.205165168831</v>
      </c>
      <c r="J381" s="13" t="n">
        <f aca="false">IF(G381=0,"",I381/G381)</f>
        <v>0.0758091156181358</v>
      </c>
    </row>
    <row r="382" customFormat="false" ht="15" hidden="false" customHeight="false" outlineLevel="0" collapsed="false">
      <c r="A382" s="3" t="n">
        <v>54050</v>
      </c>
      <c r="B382" s="3" t="n">
        <v>182379</v>
      </c>
      <c r="C382" s="18" t="n">
        <v>540</v>
      </c>
      <c r="D382" s="18" t="n">
        <v>540</v>
      </c>
      <c r="E382" s="19" t="n">
        <v>339.15483374419</v>
      </c>
      <c r="F382" s="19" t="n">
        <v>368.022582668728</v>
      </c>
      <c r="G382" s="12" t="n">
        <f aca="false">E382/Combined_Summary!$B$23</f>
        <v>1356.61933497676</v>
      </c>
      <c r="H382" s="12" t="n">
        <f aca="false">F382/Combined_Summary!$B$23</f>
        <v>1472.09033067491</v>
      </c>
      <c r="I382" s="12" t="n">
        <f aca="false">H382-G382</f>
        <v>115.470995698152</v>
      </c>
      <c r="J382" s="13" t="n">
        <f aca="false">IF(G382=0,"",I382/G382)</f>
        <v>0.0851167256142123</v>
      </c>
    </row>
    <row r="383" customFormat="false" ht="15" hidden="false" customHeight="false" outlineLevel="0" collapsed="false">
      <c r="A383" s="3" t="n">
        <v>54051</v>
      </c>
      <c r="B383" s="3" t="n">
        <v>31217</v>
      </c>
      <c r="C383" s="18" t="n">
        <v>1020</v>
      </c>
      <c r="D383" s="18" t="n">
        <v>1020</v>
      </c>
      <c r="E383" s="19" t="n">
        <v>344.873735068826</v>
      </c>
      <c r="F383" s="19" t="n">
        <v>368.466741741405</v>
      </c>
      <c r="G383" s="12" t="n">
        <f aca="false">E383/Combined_Summary!$B$23</f>
        <v>1379.4949402753</v>
      </c>
      <c r="H383" s="12" t="n">
        <f aca="false">F383/Combined_Summary!$B$23</f>
        <v>1473.86696696562</v>
      </c>
      <c r="I383" s="12" t="n">
        <f aca="false">H383-G383</f>
        <v>94.3720266903149</v>
      </c>
      <c r="J383" s="13" t="n">
        <f aca="false">IF(G383=0,"",I383/G383)</f>
        <v>0.0684105638484482</v>
      </c>
    </row>
    <row r="384" customFormat="false" ht="15" hidden="false" customHeight="false" outlineLevel="0" collapsed="false">
      <c r="A384" s="3" t="n">
        <v>54052</v>
      </c>
      <c r="B384" s="3" t="n">
        <v>31218</v>
      </c>
      <c r="C384" s="18" t="n">
        <v>798</v>
      </c>
      <c r="D384" s="18" t="n">
        <v>798</v>
      </c>
      <c r="E384" s="19" t="n">
        <v>343.238507779917</v>
      </c>
      <c r="F384" s="19" t="n">
        <v>360.216528412095</v>
      </c>
      <c r="G384" s="12" t="n">
        <f aca="false">E384/Combined_Summary!$B$23</f>
        <v>1372.95403111967</v>
      </c>
      <c r="H384" s="12" t="n">
        <f aca="false">F384/Combined_Summary!$B$23</f>
        <v>1440.86611364838</v>
      </c>
      <c r="I384" s="12" t="n">
        <f aca="false">H384-G384</f>
        <v>67.9120825287096</v>
      </c>
      <c r="J384" s="13" t="n">
        <f aca="false">IF(G384=0,"",I384/G384)</f>
        <v>0.0494642070960861</v>
      </c>
    </row>
    <row r="385" customFormat="false" ht="15" hidden="false" customHeight="false" outlineLevel="0" collapsed="false">
      <c r="A385" s="3" t="n">
        <v>54066</v>
      </c>
      <c r="B385" s="3" t="n">
        <v>597223</v>
      </c>
      <c r="C385" s="18" t="n">
        <v>16</v>
      </c>
      <c r="D385" s="18" t="n">
        <v>16</v>
      </c>
      <c r="E385" s="19" t="n">
        <v>311.338884353638</v>
      </c>
      <c r="F385" s="19" t="n">
        <v>341.465524673462</v>
      </c>
      <c r="G385" s="12" t="n">
        <f aca="false">E385/Combined_Summary!$B$23</f>
        <v>1245.35553741455</v>
      </c>
      <c r="H385" s="12" t="n">
        <f aca="false">F385/Combined_Summary!$B$23</f>
        <v>1365.86209869385</v>
      </c>
      <c r="I385" s="12" t="n">
        <f aca="false">H385-G385</f>
        <v>120.506561279297</v>
      </c>
      <c r="J385" s="13" t="n">
        <f aca="false">IF(G385=0,"",I385/G385)</f>
        <v>0.0967647853636057</v>
      </c>
    </row>
    <row r="386" customFormat="false" ht="15" hidden="false" customHeight="false" outlineLevel="0" collapsed="false">
      <c r="A386" s="3" t="n">
        <v>54067</v>
      </c>
      <c r="B386" s="3" t="n">
        <v>182381</v>
      </c>
      <c r="C386" s="18" t="n">
        <v>469</v>
      </c>
      <c r="D386" s="18" t="n">
        <v>469</v>
      </c>
      <c r="E386" s="19" t="n">
        <v>325.147351848545</v>
      </c>
      <c r="F386" s="19" t="n">
        <v>353.489848448015</v>
      </c>
      <c r="G386" s="12" t="n">
        <f aca="false">E386/Combined_Summary!$B$23</f>
        <v>1300.58940739418</v>
      </c>
      <c r="H386" s="12" t="n">
        <f aca="false">F386/Combined_Summary!$B$23</f>
        <v>1413.95939379206</v>
      </c>
      <c r="I386" s="12" t="n">
        <f aca="false">H386-G386</f>
        <v>113.369986397879</v>
      </c>
      <c r="J386" s="13" t="n">
        <f aca="false">IF(G386=0,"",I386/G386)</f>
        <v>0.0871681606457365</v>
      </c>
    </row>
    <row r="387" customFormat="false" ht="15" hidden="false" customHeight="false" outlineLevel="0" collapsed="false">
      <c r="A387" s="3" t="n">
        <v>54068</v>
      </c>
      <c r="B387" s="3" t="n">
        <v>187678</v>
      </c>
      <c r="C387" s="18" t="n">
        <v>442</v>
      </c>
      <c r="D387" s="18" t="n">
        <v>442</v>
      </c>
      <c r="E387" s="19" t="n">
        <v>323.594953165874</v>
      </c>
      <c r="F387" s="19" t="n">
        <v>352.899476892808</v>
      </c>
      <c r="G387" s="12" t="n">
        <f aca="false">E387/Combined_Summary!$B$23</f>
        <v>1294.3798126635</v>
      </c>
      <c r="H387" s="12" t="n">
        <f aca="false">F387/Combined_Summary!$B$23</f>
        <v>1411.59790757123</v>
      </c>
      <c r="I387" s="12" t="n">
        <f aca="false">H387-G387</f>
        <v>117.218094907735</v>
      </c>
      <c r="J387" s="13" t="n">
        <f aca="false">IF(G387=0,"",I387/G387)</f>
        <v>0.0905592730672542</v>
      </c>
    </row>
    <row r="388" customFormat="false" ht="15" hidden="false" customHeight="false" outlineLevel="0" collapsed="false">
      <c r="A388" s="3" t="n">
        <v>54069</v>
      </c>
      <c r="B388" s="3" t="n">
        <v>187694</v>
      </c>
      <c r="C388" s="18" t="n">
        <v>1133</v>
      </c>
      <c r="D388" s="18" t="n">
        <v>1133</v>
      </c>
      <c r="E388" s="19" t="n">
        <v>349.993591423068</v>
      </c>
      <c r="F388" s="19" t="n">
        <v>375.902911759433</v>
      </c>
      <c r="G388" s="12" t="n">
        <f aca="false">E388/Combined_Summary!$B$23</f>
        <v>1399.97436569227</v>
      </c>
      <c r="H388" s="12" t="n">
        <f aca="false">F388/Combined_Summary!$B$23</f>
        <v>1503.61164703773</v>
      </c>
      <c r="I388" s="12" t="n">
        <f aca="false">H388-G388</f>
        <v>103.637281345458</v>
      </c>
      <c r="J388" s="13" t="n">
        <f aca="false">IF(G388=0,"",I388/G388)</f>
        <v>0.0740279850011474</v>
      </c>
    </row>
    <row r="389" customFormat="false" ht="15" hidden="false" customHeight="false" outlineLevel="0" collapsed="false">
      <c r="A389" s="3" t="n">
        <v>54077</v>
      </c>
      <c r="B389" s="3" t="n">
        <v>180944</v>
      </c>
      <c r="C389" s="18" t="n">
        <v>616</v>
      </c>
      <c r="D389" s="18" t="n">
        <v>616</v>
      </c>
      <c r="E389" s="19" t="n">
        <v>355.264454841614</v>
      </c>
      <c r="F389" s="19" t="n">
        <v>384.855670718404</v>
      </c>
      <c r="G389" s="12" t="n">
        <f aca="false">E389/Combined_Summary!$B$23</f>
        <v>1421.05781936646</v>
      </c>
      <c r="H389" s="12" t="n">
        <f aca="false">F389/Combined_Summary!$B$23</f>
        <v>1539.42268287361</v>
      </c>
      <c r="I389" s="12" t="n">
        <f aca="false">H389-G389</f>
        <v>118.364863507159</v>
      </c>
      <c r="J389" s="13" t="n">
        <f aca="false">IF(G389=0,"",I389/G389)</f>
        <v>0.0832934887617234</v>
      </c>
    </row>
    <row r="390" customFormat="false" ht="15" hidden="false" customHeight="false" outlineLevel="0" collapsed="false">
      <c r="A390" s="3" t="n">
        <v>54078</v>
      </c>
      <c r="B390" s="3" t="n">
        <v>180977</v>
      </c>
      <c r="C390" s="18" t="n">
        <v>840</v>
      </c>
      <c r="D390" s="18" t="n">
        <v>840</v>
      </c>
      <c r="E390" s="19" t="n">
        <v>346.917509923663</v>
      </c>
      <c r="F390" s="19" t="n">
        <v>377.302191561744</v>
      </c>
      <c r="G390" s="12" t="n">
        <f aca="false">E390/Combined_Summary!$B$23</f>
        <v>1387.67003969465</v>
      </c>
      <c r="H390" s="12" t="n">
        <f aca="false">F390/Combined_Summary!$B$23</f>
        <v>1509.20876624698</v>
      </c>
      <c r="I390" s="12" t="n">
        <f aca="false">H390-G390</f>
        <v>121.538726552327</v>
      </c>
      <c r="J390" s="13" t="n">
        <f aca="false">IF(G390=0,"",I390/G390)</f>
        <v>0.0875847449866908</v>
      </c>
    </row>
    <row r="391" customFormat="false" ht="15" hidden="false" customHeight="false" outlineLevel="0" collapsed="false">
      <c r="A391" s="3" t="n">
        <v>54079</v>
      </c>
      <c r="B391" s="3" t="n">
        <v>188692</v>
      </c>
      <c r="C391" s="18" t="n">
        <v>648</v>
      </c>
      <c r="D391" s="18" t="n">
        <v>648</v>
      </c>
      <c r="E391" s="19" t="n">
        <v>363.395195419406</v>
      </c>
      <c r="F391" s="19" t="n">
        <v>387.829558855222</v>
      </c>
      <c r="G391" s="12" t="n">
        <f aca="false">E391/Combined_Summary!$B$23</f>
        <v>1453.58078167762</v>
      </c>
      <c r="H391" s="12" t="n">
        <f aca="false">F391/Combined_Summary!$B$23</f>
        <v>1551.31823542089</v>
      </c>
      <c r="I391" s="12" t="n">
        <f aca="false">H391-G391</f>
        <v>97.7374537432636</v>
      </c>
      <c r="J391" s="13" t="n">
        <f aca="false">IF(G391=0,"",I391/G391)</f>
        <v>0.0672390932621314</v>
      </c>
    </row>
    <row r="392" customFormat="false" ht="15" hidden="false" customHeight="false" outlineLevel="0" collapsed="false">
      <c r="A392" s="3" t="n">
        <v>54080</v>
      </c>
      <c r="B392" s="3" t="n">
        <v>638462</v>
      </c>
      <c r="C392" s="18" t="n">
        <v>16</v>
      </c>
      <c r="D392" s="18" t="n">
        <v>16</v>
      </c>
      <c r="E392" s="19" t="n">
        <v>309.492677688599</v>
      </c>
      <c r="F392" s="19" t="n">
        <v>335.424688339233</v>
      </c>
      <c r="G392" s="12" t="n">
        <f aca="false">E392/Combined_Summary!$B$23</f>
        <v>1237.97071075439</v>
      </c>
      <c r="H392" s="12" t="n">
        <f aca="false">F392/Combined_Summary!$B$23</f>
        <v>1341.69875335693</v>
      </c>
      <c r="I392" s="12" t="n">
        <f aca="false">H392-G392</f>
        <v>103.728042602539</v>
      </c>
      <c r="J392" s="13" t="n">
        <f aca="false">IF(G392=0,"",I392/G392)</f>
        <v>0.0837887695576655</v>
      </c>
    </row>
    <row r="393" customFormat="false" ht="15" hidden="false" customHeight="false" outlineLevel="0" collapsed="false">
      <c r="A393" s="3" t="n">
        <v>54081</v>
      </c>
      <c r="B393" s="3" t="n">
        <v>187693</v>
      </c>
      <c r="C393" s="18" t="n">
        <v>982</v>
      </c>
      <c r="D393" s="18" t="n">
        <v>982</v>
      </c>
      <c r="E393" s="19" t="n">
        <v>350.685309276076</v>
      </c>
      <c r="F393" s="19" t="n">
        <v>379.489367537489</v>
      </c>
      <c r="G393" s="12" t="n">
        <f aca="false">E393/Combined_Summary!$B$23</f>
        <v>1402.7412371043</v>
      </c>
      <c r="H393" s="12" t="n">
        <f aca="false">F393/Combined_Summary!$B$23</f>
        <v>1517.95747014996</v>
      </c>
      <c r="I393" s="12" t="n">
        <f aca="false">H393-G393</f>
        <v>115.216233045652</v>
      </c>
      <c r="J393" s="13" t="n">
        <f aca="false">IF(G393=0,"",I393/G393)</f>
        <v>0.0821364839059657</v>
      </c>
    </row>
    <row r="394" customFormat="false" ht="15" hidden="false" customHeight="false" outlineLevel="0" collapsed="false">
      <c r="A394" s="3" t="n">
        <v>54099</v>
      </c>
      <c r="B394" s="3" t="n">
        <v>180970</v>
      </c>
      <c r="C394" s="18" t="n">
        <v>766</v>
      </c>
      <c r="D394" s="18" t="n">
        <v>766</v>
      </c>
      <c r="E394" s="19" t="n">
        <v>358.511436303042</v>
      </c>
      <c r="F394" s="19" t="n">
        <v>385.359620554951</v>
      </c>
      <c r="G394" s="12" t="n">
        <f aca="false">E394/Combined_Summary!$B$23</f>
        <v>1434.04574521217</v>
      </c>
      <c r="H394" s="12" t="n">
        <f aca="false">F394/Combined_Summary!$B$23</f>
        <v>1541.43848221981</v>
      </c>
      <c r="I394" s="12" t="n">
        <f aca="false">H394-G394</f>
        <v>107.392737007639</v>
      </c>
      <c r="J394" s="13" t="n">
        <f aca="false">IF(G394=0,"",I394/G394)</f>
        <v>0.0748879436839377</v>
      </c>
    </row>
    <row r="395" customFormat="false" ht="15" hidden="false" customHeight="false" outlineLevel="0" collapsed="false">
      <c r="A395" s="3" t="n">
        <v>54100</v>
      </c>
      <c r="B395" s="3" t="n">
        <v>180968</v>
      </c>
      <c r="C395" s="18" t="n">
        <v>440</v>
      </c>
      <c r="D395" s="18" t="n">
        <v>440</v>
      </c>
      <c r="E395" s="19" t="n">
        <v>303.419393418052</v>
      </c>
      <c r="F395" s="19" t="n">
        <v>331.08486400951</v>
      </c>
      <c r="G395" s="12" t="n">
        <f aca="false">E395/Combined_Summary!$B$23</f>
        <v>1213.67757367221</v>
      </c>
      <c r="H395" s="12" t="n">
        <f aca="false">F395/Combined_Summary!$B$23</f>
        <v>1324.33945603804</v>
      </c>
      <c r="I395" s="12" t="n">
        <f aca="false">H395-G395</f>
        <v>110.661882365834</v>
      </c>
      <c r="J395" s="13" t="n">
        <f aca="false">IF(G395=0,"",I395/G395)</f>
        <v>0.0911789792992594</v>
      </c>
    </row>
    <row r="396" customFormat="false" ht="15" hidden="false" customHeight="false" outlineLevel="0" collapsed="false">
      <c r="A396" s="3" t="n">
        <v>54101</v>
      </c>
      <c r="B396" s="3" t="n">
        <v>180972</v>
      </c>
      <c r="C396" s="18" t="n">
        <v>755</v>
      </c>
      <c r="D396" s="18" t="n">
        <v>755</v>
      </c>
      <c r="E396" s="19" t="n">
        <v>337.933117483783</v>
      </c>
      <c r="F396" s="19" t="n">
        <v>360.873271472249</v>
      </c>
      <c r="G396" s="12" t="n">
        <f aca="false">E396/Combined_Summary!$B$23</f>
        <v>1351.73246993513</v>
      </c>
      <c r="H396" s="12" t="n">
        <f aca="false">F396/Combined_Summary!$B$23</f>
        <v>1443.493085889</v>
      </c>
      <c r="I396" s="12" t="n">
        <f aca="false">H396-G396</f>
        <v>91.7606159538625</v>
      </c>
      <c r="J396" s="13" t="n">
        <f aca="false">IF(G396=0,"",I396/G396)</f>
        <v>0.0678837107155279</v>
      </c>
    </row>
    <row r="397" customFormat="false" ht="15" hidden="false" customHeight="false" outlineLevel="0" collapsed="false">
      <c r="A397" s="3" t="n">
        <v>54102</v>
      </c>
      <c r="B397" s="3" t="n">
        <v>594068</v>
      </c>
      <c r="C397" s="18" t="n">
        <v>16</v>
      </c>
      <c r="D397" s="18" t="n">
        <v>16</v>
      </c>
      <c r="E397" s="19" t="n">
        <v>331.587556838989</v>
      </c>
      <c r="F397" s="19" t="n">
        <v>356.059261322022</v>
      </c>
      <c r="G397" s="12" t="n">
        <f aca="false">E397/Combined_Summary!$B$23</f>
        <v>1326.35022735596</v>
      </c>
      <c r="H397" s="12" t="n">
        <f aca="false">F397/Combined_Summary!$B$23</f>
        <v>1424.23704528809</v>
      </c>
      <c r="I397" s="12" t="n">
        <f aca="false">H397-G397</f>
        <v>97.8868179321287</v>
      </c>
      <c r="J397" s="13" t="n">
        <f aca="false">IF(G397=0,"",I397/G397)</f>
        <v>0.0738016369381286</v>
      </c>
    </row>
    <row r="398" customFormat="false" ht="15" hidden="false" customHeight="false" outlineLevel="0" collapsed="false">
      <c r="A398" s="3" t="n">
        <v>54103</v>
      </c>
      <c r="B398" s="3" t="n">
        <v>635445</v>
      </c>
      <c r="C398" s="18" t="n">
        <v>16</v>
      </c>
      <c r="D398" s="18" t="n">
        <v>16</v>
      </c>
      <c r="E398" s="19" t="n">
        <v>342.149551391602</v>
      </c>
      <c r="F398" s="19" t="n">
        <v>357.857257843018</v>
      </c>
      <c r="G398" s="12" t="n">
        <f aca="false">E398/Combined_Summary!$B$23</f>
        <v>1368.59820556641</v>
      </c>
      <c r="H398" s="12" t="n">
        <f aca="false">F398/Combined_Summary!$B$23</f>
        <v>1431.42903137207</v>
      </c>
      <c r="I398" s="12" t="n">
        <f aca="false">H398-G398</f>
        <v>62.8308258056638</v>
      </c>
      <c r="J398" s="13" t="n">
        <f aca="false">IF(G398=0,"",I398/G398)</f>
        <v>0.0459088909733451</v>
      </c>
    </row>
    <row r="399" customFormat="false" ht="15" hidden="false" customHeight="false" outlineLevel="0" collapsed="false">
      <c r="A399" s="3" t="n">
        <v>54104</v>
      </c>
      <c r="B399" s="3" t="n">
        <v>188691</v>
      </c>
      <c r="C399" s="18" t="n">
        <v>799</v>
      </c>
      <c r="D399" s="18" t="n">
        <v>799</v>
      </c>
      <c r="E399" s="19" t="n">
        <v>322.83678243396</v>
      </c>
      <c r="F399" s="19" t="n">
        <v>355.944647386763</v>
      </c>
      <c r="G399" s="12" t="n">
        <f aca="false">E399/Combined_Summary!$B$23</f>
        <v>1291.34712973584</v>
      </c>
      <c r="H399" s="12" t="n">
        <f aca="false">F399/Combined_Summary!$B$23</f>
        <v>1423.77858954705</v>
      </c>
      <c r="I399" s="12" t="n">
        <f aca="false">H399-G399</f>
        <v>132.431459811214</v>
      </c>
      <c r="J399" s="13" t="n">
        <f aca="false">IF(G399=0,"",I399/G399)</f>
        <v>0.102552951690305</v>
      </c>
    </row>
    <row r="400" customFormat="false" ht="15" hidden="false" customHeight="false" outlineLevel="0" collapsed="false">
      <c r="A400" s="3" t="n">
        <v>54124</v>
      </c>
      <c r="B400" s="3" t="n">
        <v>181015</v>
      </c>
      <c r="C400" s="18" t="n">
        <v>789</v>
      </c>
      <c r="D400" s="18" t="n">
        <v>789</v>
      </c>
      <c r="E400" s="19" t="n">
        <v>345.682073392493</v>
      </c>
      <c r="F400" s="19" t="n">
        <v>369.216594488146</v>
      </c>
      <c r="G400" s="12" t="n">
        <f aca="false">E400/Combined_Summary!$B$23</f>
        <v>1382.72829356997</v>
      </c>
      <c r="H400" s="12" t="n">
        <f aca="false">F400/Combined_Summary!$B$23</f>
        <v>1476.86637795259</v>
      </c>
      <c r="I400" s="12" t="n">
        <f aca="false">H400-G400</f>
        <v>94.1380843826116</v>
      </c>
      <c r="J400" s="13" t="n">
        <f aca="false">IF(G400=0,"",I400/G400)</f>
        <v>0.0680814045827925</v>
      </c>
    </row>
    <row r="401" customFormat="false" ht="15" hidden="false" customHeight="false" outlineLevel="0" collapsed="false">
      <c r="A401" s="3" t="n">
        <v>54125</v>
      </c>
      <c r="B401" s="3" t="n">
        <v>594069</v>
      </c>
      <c r="C401" s="18" t="n">
        <v>16</v>
      </c>
      <c r="D401" s="18" t="n">
        <v>16</v>
      </c>
      <c r="E401" s="19" t="n">
        <v>310.500444412231</v>
      </c>
      <c r="F401" s="19" t="n">
        <v>343.651300430298</v>
      </c>
      <c r="G401" s="12" t="n">
        <f aca="false">E401/Combined_Summary!$B$23</f>
        <v>1242.00177764893</v>
      </c>
      <c r="H401" s="12" t="n">
        <f aca="false">F401/Combined_Summary!$B$23</f>
        <v>1374.60520172119</v>
      </c>
      <c r="I401" s="12" t="n">
        <f aca="false">H401-G401</f>
        <v>132.603424072266</v>
      </c>
      <c r="J401" s="13" t="n">
        <f aca="false">IF(G401=0,"",I401/G401)</f>
        <v>0.10676588911433</v>
      </c>
    </row>
    <row r="402" customFormat="false" ht="15" hidden="false" customHeight="false" outlineLevel="0" collapsed="false">
      <c r="A402" s="3" t="n">
        <v>54126</v>
      </c>
      <c r="B402" s="3" t="n">
        <v>181030</v>
      </c>
      <c r="C402" s="18" t="n">
        <v>778</v>
      </c>
      <c r="D402" s="18" t="n">
        <v>778</v>
      </c>
      <c r="E402" s="19" t="n">
        <v>331.300251291466</v>
      </c>
      <c r="F402" s="19" t="n">
        <v>359.688350236201</v>
      </c>
      <c r="G402" s="12" t="n">
        <f aca="false">E402/Combined_Summary!$B$23</f>
        <v>1325.20100516587</v>
      </c>
      <c r="H402" s="12" t="n">
        <f aca="false">F402/Combined_Summary!$B$23</f>
        <v>1438.75340094481</v>
      </c>
      <c r="I402" s="12" t="n">
        <f aca="false">H402-G402</f>
        <v>113.552395778941</v>
      </c>
      <c r="J402" s="13" t="n">
        <f aca="false">IF(G402=0,"",I402/G402)</f>
        <v>0.0856869224640592</v>
      </c>
    </row>
    <row r="403" customFormat="false" ht="15" hidden="false" customHeight="false" outlineLevel="0" collapsed="false">
      <c r="A403" s="3" t="n">
        <v>54127</v>
      </c>
      <c r="B403" s="3" t="n">
        <v>187791</v>
      </c>
      <c r="C403" s="18" t="n">
        <v>681</v>
      </c>
      <c r="D403" s="18" t="n">
        <v>681</v>
      </c>
      <c r="E403" s="19" t="n">
        <v>344.369003307102</v>
      </c>
      <c r="F403" s="19" t="n">
        <v>373.05357139016</v>
      </c>
      <c r="G403" s="12" t="n">
        <f aca="false">E403/Combined_Summary!$B$23</f>
        <v>1377.47601322841</v>
      </c>
      <c r="H403" s="12" t="n">
        <f aca="false">F403/Combined_Summary!$B$23</f>
        <v>1492.21428556064</v>
      </c>
      <c r="I403" s="12" t="n">
        <f aca="false">H403-G403</f>
        <v>114.738272332235</v>
      </c>
      <c r="J403" s="13" t="n">
        <f aca="false">IF(G403=0,"",I403/G403)</f>
        <v>0.0832960220216985</v>
      </c>
    </row>
    <row r="404" customFormat="false" ht="15" hidden="false" customHeight="false" outlineLevel="0" collapsed="false">
      <c r="A404" s="3" t="n">
        <v>54145</v>
      </c>
      <c r="B404" s="3" t="n">
        <v>182442</v>
      </c>
      <c r="C404" s="18" t="n">
        <v>704</v>
      </c>
      <c r="D404" s="18" t="n">
        <v>704</v>
      </c>
      <c r="E404" s="19" t="n">
        <v>336.753127011386</v>
      </c>
      <c r="F404" s="19" t="n">
        <v>371.409242499958</v>
      </c>
      <c r="G404" s="12" t="n">
        <f aca="false">E404/Combined_Summary!$B$23</f>
        <v>1347.01250804554</v>
      </c>
      <c r="H404" s="12" t="n">
        <f aca="false">F404/Combined_Summary!$B$23</f>
        <v>1485.63696999983</v>
      </c>
      <c r="I404" s="12" t="n">
        <f aca="false">H404-G404</f>
        <v>138.62446195429</v>
      </c>
      <c r="J404" s="13" t="n">
        <f aca="false">IF(G404=0,"",I404/G404)</f>
        <v>0.102912527631557</v>
      </c>
    </row>
    <row r="405" customFormat="false" ht="15" hidden="false" customHeight="false" outlineLevel="0" collapsed="false">
      <c r="A405" s="3" t="n">
        <v>54146</v>
      </c>
      <c r="B405" s="3" t="n">
        <v>187761</v>
      </c>
      <c r="C405" s="18" t="n">
        <v>730</v>
      </c>
      <c r="D405" s="18" t="n">
        <v>730</v>
      </c>
      <c r="E405" s="19" t="n">
        <v>330.612156311453</v>
      </c>
      <c r="F405" s="19" t="n">
        <v>362.192703936851</v>
      </c>
      <c r="G405" s="12" t="n">
        <f aca="false">E405/Combined_Summary!$B$23</f>
        <v>1322.44862524581</v>
      </c>
      <c r="H405" s="12" t="n">
        <f aca="false">F405/Combined_Summary!$B$23</f>
        <v>1448.7708157474</v>
      </c>
      <c r="I405" s="12" t="n">
        <f aca="false">H405-G405</f>
        <v>126.322190501592</v>
      </c>
      <c r="J405" s="13" t="n">
        <f aca="false">IF(G405=0,"",I405/G405)</f>
        <v>0.0955214350788952</v>
      </c>
    </row>
    <row r="406" customFormat="false" ht="15" hidden="false" customHeight="false" outlineLevel="0" collapsed="false">
      <c r="A406" s="3" t="n">
        <v>54147</v>
      </c>
      <c r="B406" s="3" t="n">
        <v>596098</v>
      </c>
      <c r="C406" s="18" t="n">
        <v>16</v>
      </c>
      <c r="D406" s="18" t="n">
        <v>16</v>
      </c>
      <c r="E406" s="19" t="n">
        <v>406.072511672974</v>
      </c>
      <c r="F406" s="19" t="n">
        <v>421.882293701172</v>
      </c>
      <c r="G406" s="12" t="n">
        <f aca="false">E406/Combined_Summary!$B$23</f>
        <v>1624.29004669189</v>
      </c>
      <c r="H406" s="12" t="n">
        <f aca="false">F406/Combined_Summary!$B$23</f>
        <v>1687.52917480469</v>
      </c>
      <c r="I406" s="12" t="n">
        <f aca="false">H406-G406</f>
        <v>63.2391281127932</v>
      </c>
      <c r="J406" s="13" t="n">
        <f aca="false">IF(G406=0,"",I406/G406)</f>
        <v>0.0389333963115695</v>
      </c>
    </row>
    <row r="407" customFormat="false" ht="15" hidden="false" customHeight="false" outlineLevel="0" collapsed="false">
      <c r="A407" s="3" t="n">
        <v>54165</v>
      </c>
      <c r="B407" s="3" t="n">
        <v>16121</v>
      </c>
      <c r="C407" s="18" t="n">
        <v>948</v>
      </c>
      <c r="D407" s="18" t="n">
        <v>948</v>
      </c>
      <c r="E407" s="19" t="n">
        <v>331.45561576795</v>
      </c>
      <c r="F407" s="19" t="n">
        <v>372.816834316978</v>
      </c>
      <c r="G407" s="12" t="n">
        <f aca="false">E407/Combined_Summary!$B$23</f>
        <v>1325.8224630718</v>
      </c>
      <c r="H407" s="12" t="n">
        <f aca="false">F407/Combined_Summary!$B$23</f>
        <v>1491.26733726791</v>
      </c>
      <c r="I407" s="12" t="n">
        <f aca="false">H407-G407</f>
        <v>165.444874196113</v>
      </c>
      <c r="J407" s="13" t="n">
        <f aca="false">IF(G407=0,"",I407/G407)</f>
        <v>0.124786597605832</v>
      </c>
    </row>
    <row r="408" customFormat="false" ht="15" hidden="false" customHeight="false" outlineLevel="0" collapsed="false">
      <c r="A408" s="3" t="n">
        <v>54183</v>
      </c>
      <c r="B408" s="3" t="n">
        <v>187785</v>
      </c>
      <c r="C408" s="18" t="n">
        <v>582</v>
      </c>
      <c r="D408" s="18" t="n">
        <v>582</v>
      </c>
      <c r="E408" s="19" t="n">
        <v>372.921473775123</v>
      </c>
      <c r="F408" s="19" t="n">
        <v>396.376768970817</v>
      </c>
      <c r="G408" s="12" t="n">
        <f aca="false">E408/Combined_Summary!$B$23</f>
        <v>1491.68589510049</v>
      </c>
      <c r="H408" s="12" t="n">
        <f aca="false">F408/Combined_Summary!$B$23</f>
        <v>1585.50707588327</v>
      </c>
      <c r="I408" s="12" t="n">
        <f aca="false">H408-G408</f>
        <v>93.8211807827768</v>
      </c>
      <c r="J408" s="13" t="n">
        <f aca="false">IF(G408=0,"",I408/G408)</f>
        <v>0.062896070205488</v>
      </c>
    </row>
    <row r="409" customFormat="false" ht="15" hidden="false" customHeight="false" outlineLevel="0" collapsed="false">
      <c r="A409" s="3" t="n">
        <v>54184</v>
      </c>
      <c r="B409" s="3" t="n">
        <v>565439</v>
      </c>
      <c r="C409" s="18" t="n">
        <v>16</v>
      </c>
      <c r="D409" s="18" t="n">
        <v>16</v>
      </c>
      <c r="E409" s="19" t="n">
        <v>278.502996444702</v>
      </c>
      <c r="F409" s="19" t="n">
        <v>332.452436447144</v>
      </c>
      <c r="G409" s="12" t="n">
        <f aca="false">E409/Combined_Summary!$B$23</f>
        <v>1114.01198577881</v>
      </c>
      <c r="H409" s="12" t="n">
        <f aca="false">F409/Combined_Summary!$B$23</f>
        <v>1329.80974578857</v>
      </c>
      <c r="I409" s="12" t="n">
        <f aca="false">H409-G409</f>
        <v>215.797760009766</v>
      </c>
      <c r="J409" s="13" t="n">
        <f aca="false">IF(G409=0,"",I409/G409)</f>
        <v>0.193712242565237</v>
      </c>
    </row>
    <row r="410" customFormat="false" ht="15" hidden="false" customHeight="false" outlineLevel="0" collapsed="false">
      <c r="A410" s="3" t="n">
        <v>54198</v>
      </c>
      <c r="B410" s="3" t="n">
        <v>182480</v>
      </c>
      <c r="C410" s="18" t="n">
        <v>760</v>
      </c>
      <c r="D410" s="18" t="n">
        <v>760</v>
      </c>
      <c r="E410" s="19" t="n">
        <v>346.109174407156</v>
      </c>
      <c r="F410" s="19" t="n">
        <v>378.650516570242</v>
      </c>
      <c r="G410" s="12" t="n">
        <f aca="false">E410/Combined_Summary!$B$23</f>
        <v>1384.43669762862</v>
      </c>
      <c r="H410" s="12" t="n">
        <f aca="false">F410/Combined_Summary!$B$23</f>
        <v>1514.60206628097</v>
      </c>
      <c r="I410" s="12" t="n">
        <f aca="false">H410-G410</f>
        <v>130.165368652344</v>
      </c>
      <c r="J410" s="13" t="n">
        <f aca="false">IF(G410=0,"",I410/G410)</f>
        <v>0.0940204553052527</v>
      </c>
    </row>
    <row r="411" customFormat="false" ht="15" hidden="false" customHeight="false" outlineLevel="0" collapsed="false">
      <c r="A411" s="3" t="n">
        <v>54199</v>
      </c>
      <c r="B411" s="3" t="n">
        <v>566304</v>
      </c>
      <c r="C411" s="18" t="n">
        <v>16</v>
      </c>
      <c r="D411" s="18" t="n">
        <v>16</v>
      </c>
      <c r="E411" s="19" t="n">
        <v>249.338605880737</v>
      </c>
      <c r="F411" s="19" t="n">
        <v>293.882742881775</v>
      </c>
      <c r="G411" s="12" t="n">
        <f aca="false">E411/Combined_Summary!$B$23</f>
        <v>997.354423522949</v>
      </c>
      <c r="H411" s="12" t="n">
        <f aca="false">F411/Combined_Summary!$B$23</f>
        <v>1175.5309715271</v>
      </c>
      <c r="I411" s="12" t="n">
        <f aca="false">H411-G411</f>
        <v>178.17654800415</v>
      </c>
      <c r="J411" s="13" t="n">
        <f aca="false">IF(G411=0,"",I411/G411)</f>
        <v>0.17864917806729</v>
      </c>
    </row>
    <row r="412" customFormat="false" ht="15" hidden="false" customHeight="false" outlineLevel="0" collapsed="false">
      <c r="A412" s="3" t="n">
        <v>54219</v>
      </c>
      <c r="B412" s="3" t="n">
        <v>180987</v>
      </c>
      <c r="C412" s="18" t="n">
        <v>424</v>
      </c>
      <c r="D412" s="18" t="n">
        <v>424</v>
      </c>
      <c r="E412" s="19" t="n">
        <v>359.645359255233</v>
      </c>
      <c r="F412" s="19" t="n">
        <v>382.999626609514</v>
      </c>
      <c r="G412" s="12" t="n">
        <f aca="false">E412/Combined_Summary!$B$23</f>
        <v>1438.58143702093</v>
      </c>
      <c r="H412" s="12" t="n">
        <f aca="false">F412/Combined_Summary!$B$23</f>
        <v>1531.99850643806</v>
      </c>
      <c r="I412" s="12" t="n">
        <f aca="false">H412-G412</f>
        <v>93.4170694171255</v>
      </c>
      <c r="J412" s="13" t="n">
        <f aca="false">IF(G412=0,"",I412/G412)</f>
        <v>0.0649369351036373</v>
      </c>
    </row>
    <row r="413" customFormat="false" ht="15" hidden="false" customHeight="false" outlineLevel="0" collapsed="false">
      <c r="A413" s="3" t="n">
        <v>54220</v>
      </c>
      <c r="B413" s="3" t="n">
        <v>182505</v>
      </c>
      <c r="C413" s="18" t="n">
        <v>661</v>
      </c>
      <c r="D413" s="18" t="n">
        <v>661</v>
      </c>
      <c r="E413" s="19" t="n">
        <v>345.492715688408</v>
      </c>
      <c r="F413" s="19" t="n">
        <v>371.874834715689</v>
      </c>
      <c r="G413" s="12" t="n">
        <f aca="false">E413/Combined_Summary!$B$23</f>
        <v>1381.97086275363</v>
      </c>
      <c r="H413" s="12" t="n">
        <f aca="false">F413/Combined_Summary!$B$23</f>
        <v>1487.49933886276</v>
      </c>
      <c r="I413" s="12" t="n">
        <f aca="false">H413-G413</f>
        <v>105.528476109122</v>
      </c>
      <c r="J413" s="13" t="n">
        <f aca="false">IF(G413=0,"",I413/G413)</f>
        <v>0.076360854597797</v>
      </c>
    </row>
    <row r="414" customFormat="false" ht="15" hidden="false" customHeight="false" outlineLevel="0" collapsed="false">
      <c r="A414" s="3" t="n">
        <v>54221</v>
      </c>
      <c r="B414" s="3" t="n">
        <v>182436</v>
      </c>
      <c r="C414" s="18" t="n">
        <v>738</v>
      </c>
      <c r="D414" s="18" t="n">
        <v>738</v>
      </c>
      <c r="E414" s="19" t="n">
        <v>325.730444336971</v>
      </c>
      <c r="F414" s="19" t="n">
        <v>358.34168299233</v>
      </c>
      <c r="G414" s="12" t="n">
        <f aca="false">E414/Combined_Summary!$B$23</f>
        <v>1302.92177734789</v>
      </c>
      <c r="H414" s="12" t="n">
        <f aca="false">F414/Combined_Summary!$B$23</f>
        <v>1433.36673196932</v>
      </c>
      <c r="I414" s="12" t="n">
        <f aca="false">H414-G414</f>
        <v>130.444954621436</v>
      </c>
      <c r="J414" s="13" t="n">
        <f aca="false">IF(G414=0,"",I414/G414)</f>
        <v>0.100117257144139</v>
      </c>
    </row>
    <row r="415" customFormat="false" ht="15" hidden="false" customHeight="false" outlineLevel="0" collapsed="false">
      <c r="A415" s="3" t="n">
        <v>54233</v>
      </c>
      <c r="B415" s="3" t="n">
        <v>180991</v>
      </c>
      <c r="C415" s="18" t="n">
        <v>770</v>
      </c>
      <c r="D415" s="18" t="n">
        <v>770</v>
      </c>
      <c r="E415" s="19" t="n">
        <v>336.176991866471</v>
      </c>
      <c r="F415" s="19" t="n">
        <v>365.607286547376</v>
      </c>
      <c r="G415" s="12" t="n">
        <f aca="false">E415/Combined_Summary!$B$23</f>
        <v>1344.70796746588</v>
      </c>
      <c r="H415" s="12" t="n">
        <f aca="false">F415/Combined_Summary!$B$23</f>
        <v>1462.4291461895</v>
      </c>
      <c r="I415" s="12" t="n">
        <f aca="false">H415-G415</f>
        <v>117.72117872362</v>
      </c>
      <c r="J415" s="13" t="n">
        <f aca="false">IF(G415=0,"",I415/G415)</f>
        <v>0.0875440479061541</v>
      </c>
    </row>
    <row r="416" customFormat="false" ht="15" hidden="false" customHeight="false" outlineLevel="0" collapsed="false">
      <c r="A416" s="3" t="n">
        <v>54234</v>
      </c>
      <c r="B416" s="3" t="n">
        <v>181007</v>
      </c>
      <c r="C416" s="18" t="n">
        <v>548</v>
      </c>
      <c r="D416" s="18" t="n">
        <v>548</v>
      </c>
      <c r="E416" s="19" t="n">
        <v>339.782455117163</v>
      </c>
      <c r="F416" s="19" t="n">
        <v>362.669945041629</v>
      </c>
      <c r="G416" s="12" t="n">
        <f aca="false">E416/Combined_Summary!$B$23</f>
        <v>1359.12982046865</v>
      </c>
      <c r="H416" s="12" t="n">
        <f aca="false">F416/Combined_Summary!$B$23</f>
        <v>1450.67978016651</v>
      </c>
      <c r="I416" s="12" t="n">
        <f aca="false">H416-G416</f>
        <v>91.5499596978623</v>
      </c>
      <c r="J416" s="13" t="n">
        <f aca="false">IF(G416=0,"",I416/G416)</f>
        <v>0.0673592458344371</v>
      </c>
    </row>
    <row r="417" customFormat="false" ht="15" hidden="false" customHeight="false" outlineLevel="0" collapsed="false">
      <c r="A417" s="3" t="n">
        <v>54235</v>
      </c>
      <c r="B417" s="3" t="n">
        <v>639575</v>
      </c>
      <c r="C417" s="18" t="n">
        <v>16</v>
      </c>
      <c r="D417" s="18" t="n">
        <v>16</v>
      </c>
      <c r="E417" s="19" t="n">
        <v>273.218076705933</v>
      </c>
      <c r="F417" s="19" t="n">
        <v>316.628475189209</v>
      </c>
      <c r="G417" s="12" t="n">
        <f aca="false">E417/Combined_Summary!$B$23</f>
        <v>1092.87230682373</v>
      </c>
      <c r="H417" s="12" t="n">
        <f aca="false">F417/Combined_Summary!$B$23</f>
        <v>1266.51390075684</v>
      </c>
      <c r="I417" s="12" t="n">
        <f aca="false">H417-G417</f>
        <v>173.641593933105</v>
      </c>
      <c r="J417" s="13" t="n">
        <f aca="false">IF(G417=0,"",I417/G417)</f>
        <v>0.158885528390566</v>
      </c>
    </row>
    <row r="418" customFormat="false" ht="15" hidden="false" customHeight="false" outlineLevel="0" collapsed="false">
      <c r="A418" s="3" t="n">
        <v>54236</v>
      </c>
      <c r="B418" s="3" t="n">
        <v>182434</v>
      </c>
      <c r="C418" s="18" t="n">
        <v>961</v>
      </c>
      <c r="D418" s="18" t="n">
        <v>961</v>
      </c>
      <c r="E418" s="19" t="n">
        <v>295.125822827422</v>
      </c>
      <c r="F418" s="19" t="n">
        <v>335.918982093962</v>
      </c>
      <c r="G418" s="12" t="n">
        <f aca="false">E418/Combined_Summary!$B$23</f>
        <v>1180.50329130969</v>
      </c>
      <c r="H418" s="12" t="n">
        <f aca="false">F418/Combined_Summary!$B$23</f>
        <v>1343.67592837585</v>
      </c>
      <c r="I418" s="12" t="n">
        <f aca="false">H418-G418</f>
        <v>163.172637066162</v>
      </c>
      <c r="J418" s="13" t="n">
        <f aca="false">IF(G418=0,"",I418/G418)</f>
        <v>0.138222941238167</v>
      </c>
    </row>
    <row r="419" customFormat="false" ht="15" hidden="false" customHeight="false" outlineLevel="0" collapsed="false">
      <c r="A419" s="3" t="n">
        <v>54237</v>
      </c>
      <c r="B419" s="3" t="n">
        <v>187749</v>
      </c>
      <c r="C419" s="18" t="n">
        <v>1244</v>
      </c>
      <c r="D419" s="18" t="n">
        <v>1244</v>
      </c>
      <c r="E419" s="19" t="n">
        <v>347.787733734229</v>
      </c>
      <c r="F419" s="19" t="n">
        <v>377.69693323117</v>
      </c>
      <c r="G419" s="12" t="n">
        <f aca="false">E419/Combined_Summary!$B$23</f>
        <v>1391.15093493692</v>
      </c>
      <c r="H419" s="12" t="n">
        <f aca="false">F419/Combined_Summary!$B$23</f>
        <v>1510.78773292468</v>
      </c>
      <c r="I419" s="12" t="n">
        <f aca="false">H419-G419</f>
        <v>119.636797987763</v>
      </c>
      <c r="J419" s="13" t="n">
        <f aca="false">IF(G419=0,"",I419/G419)</f>
        <v>0.0859984312149338</v>
      </c>
    </row>
    <row r="420" customFormat="false" ht="15" hidden="false" customHeight="false" outlineLevel="0" collapsed="false">
      <c r="A420" s="3" t="n">
        <v>54238</v>
      </c>
      <c r="B420" s="3" t="n">
        <v>574349</v>
      </c>
      <c r="C420" s="18" t="n">
        <v>16</v>
      </c>
      <c r="D420" s="18" t="n">
        <v>16</v>
      </c>
      <c r="E420" s="19" t="n">
        <v>427.776903152466</v>
      </c>
      <c r="F420" s="19" t="n">
        <v>450.376028060913</v>
      </c>
      <c r="G420" s="12" t="n">
        <f aca="false">E420/Combined_Summary!$B$23</f>
        <v>1711.10761260986</v>
      </c>
      <c r="H420" s="12" t="n">
        <f aca="false">F420/Combined_Summary!$B$23</f>
        <v>1801.50411224365</v>
      </c>
      <c r="I420" s="12" t="n">
        <f aca="false">H420-G420</f>
        <v>90.3964996337891</v>
      </c>
      <c r="J420" s="13" t="n">
        <f aca="false">IF(G420=0,"",I420/G420)</f>
        <v>0.0528292311761222</v>
      </c>
    </row>
    <row r="421" customFormat="false" ht="15" hidden="false" customHeight="false" outlineLevel="0" collapsed="false">
      <c r="A421" s="3" t="n">
        <v>54254</v>
      </c>
      <c r="B421" s="3" t="n">
        <v>182488</v>
      </c>
      <c r="C421" s="18" t="n">
        <v>586</v>
      </c>
      <c r="D421" s="18" t="n">
        <v>586</v>
      </c>
      <c r="E421" s="19" t="n">
        <v>324.039983423904</v>
      </c>
      <c r="F421" s="19" t="n">
        <v>361.001946589239</v>
      </c>
      <c r="G421" s="12" t="n">
        <f aca="false">E421/Combined_Summary!$B$23</f>
        <v>1296.15993369561</v>
      </c>
      <c r="H421" s="12" t="n">
        <f aca="false">F421/Combined_Summary!$B$23</f>
        <v>1444.00778635696</v>
      </c>
      <c r="I421" s="12" t="n">
        <f aca="false">H421-G421</f>
        <v>147.847852661341</v>
      </c>
      <c r="J421" s="13" t="n">
        <f aca="false">IF(G421=0,"",I421/G421)</f>
        <v>0.114066056832815</v>
      </c>
    </row>
    <row r="422" customFormat="false" ht="15" hidden="false" customHeight="false" outlineLevel="0" collapsed="false">
      <c r="A422" s="3" t="n">
        <v>54255</v>
      </c>
      <c r="B422" s="3" t="n">
        <v>596096</v>
      </c>
      <c r="C422" s="18" t="n">
        <v>16</v>
      </c>
      <c r="D422" s="18" t="n">
        <v>16</v>
      </c>
      <c r="E422" s="19" t="n">
        <v>312.766450881958</v>
      </c>
      <c r="F422" s="19" t="n">
        <v>351.172334671021</v>
      </c>
      <c r="G422" s="12" t="n">
        <f aca="false">E422/Combined_Summary!$B$23</f>
        <v>1251.06580352783</v>
      </c>
      <c r="H422" s="12" t="n">
        <f aca="false">F422/Combined_Summary!$B$23</f>
        <v>1404.68933868408</v>
      </c>
      <c r="I422" s="12" t="n">
        <f aca="false">H422-G422</f>
        <v>153.62353515625</v>
      </c>
      <c r="J422" s="13" t="n">
        <f aca="false">IF(G422=0,"",I422/G422)</f>
        <v>0.122794128592639</v>
      </c>
    </row>
    <row r="423" customFormat="false" ht="15" hidden="false" customHeight="false" outlineLevel="0" collapsed="false">
      <c r="A423" s="3" t="n">
        <v>54256</v>
      </c>
      <c r="B423" s="3" t="n">
        <v>469117</v>
      </c>
      <c r="C423" s="18" t="n">
        <v>754</v>
      </c>
      <c r="D423" s="18" t="n">
        <v>754</v>
      </c>
      <c r="E423" s="19" t="n">
        <v>324.466777290526</v>
      </c>
      <c r="F423" s="19" t="n">
        <v>360.430573663282</v>
      </c>
      <c r="G423" s="12" t="n">
        <f aca="false">E423/Combined_Summary!$B$23</f>
        <v>1297.86710916211</v>
      </c>
      <c r="H423" s="12" t="n">
        <f aca="false">F423/Combined_Summary!$B$23</f>
        <v>1441.72229465313</v>
      </c>
      <c r="I423" s="12" t="n">
        <f aca="false">H423-G423</f>
        <v>143.85518549102</v>
      </c>
      <c r="J423" s="13" t="n">
        <f aca="false">IF(G423=0,"",I423/G423)</f>
        <v>0.110839688035466</v>
      </c>
    </row>
    <row r="424" customFormat="false" ht="15" hidden="false" customHeight="false" outlineLevel="0" collapsed="false">
      <c r="A424" s="3" t="n">
        <v>54266</v>
      </c>
      <c r="B424" s="3" t="n">
        <v>632577</v>
      </c>
      <c r="C424" s="18" t="n">
        <v>16</v>
      </c>
      <c r="D424" s="18" t="n">
        <v>16</v>
      </c>
      <c r="E424" s="19" t="n">
        <v>123.230306148529</v>
      </c>
      <c r="F424" s="19" t="n">
        <v>183.931286811829</v>
      </c>
      <c r="G424" s="12" t="n">
        <f aca="false">E424/Combined_Summary!$B$23</f>
        <v>492.921224594116</v>
      </c>
      <c r="H424" s="12" t="n">
        <f aca="false">F424/Combined_Summary!$B$23</f>
        <v>735.725147247315</v>
      </c>
      <c r="I424" s="12" t="n">
        <f aca="false">H424-G424</f>
        <v>242.803922653198</v>
      </c>
      <c r="J424" s="13" t="n">
        <f aca="false">IF(G424=0,"",I424/G424)</f>
        <v>0.492581594256017</v>
      </c>
    </row>
    <row r="425" customFormat="false" ht="15" hidden="false" customHeight="false" outlineLevel="0" collapsed="false">
      <c r="A425" s="3" t="n">
        <v>56771</v>
      </c>
      <c r="B425" s="3" t="n">
        <v>187603</v>
      </c>
      <c r="C425" s="18" t="n">
        <v>886</v>
      </c>
      <c r="D425" s="18" t="n">
        <v>886</v>
      </c>
      <c r="E425" s="19" t="n">
        <v>274.862255600182</v>
      </c>
      <c r="F425" s="19" t="n">
        <v>311.226654793285</v>
      </c>
      <c r="G425" s="12" t="n">
        <f aca="false">E425/Combined_Summary!$B$23</f>
        <v>1099.44902240073</v>
      </c>
      <c r="H425" s="12" t="n">
        <f aca="false">F425/Combined_Summary!$B$23</f>
        <v>1244.90661917314</v>
      </c>
      <c r="I425" s="12" t="n">
        <f aca="false">H425-G425</f>
        <v>145.457596772411</v>
      </c>
      <c r="J425" s="13" t="n">
        <f aca="false">IF(G425=0,"",I425/G425)</f>
        <v>0.132300446686281</v>
      </c>
    </row>
    <row r="426" customFormat="false" ht="15" hidden="false" customHeight="false" outlineLevel="0" collapsed="false">
      <c r="A426" s="3" t="n">
        <v>56786</v>
      </c>
      <c r="B426" s="3" t="n">
        <v>182285</v>
      </c>
      <c r="C426" s="18" t="n">
        <v>400</v>
      </c>
      <c r="D426" s="18" t="n">
        <v>400</v>
      </c>
      <c r="E426" s="19" t="n">
        <v>343.640837545395</v>
      </c>
      <c r="F426" s="19" t="n">
        <v>373.524292068481</v>
      </c>
      <c r="G426" s="12" t="n">
        <f aca="false">E426/Combined_Summary!$B$23</f>
        <v>1374.56335018158</v>
      </c>
      <c r="H426" s="12" t="n">
        <f aca="false">F426/Combined_Summary!$B$23</f>
        <v>1494.09716827393</v>
      </c>
      <c r="I426" s="12" t="n">
        <f aca="false">H426-G426</f>
        <v>119.533818092346</v>
      </c>
      <c r="J426" s="13" t="n">
        <f aca="false">IF(G426=0,"",I426/G426)</f>
        <v>0.0869613016210242</v>
      </c>
    </row>
    <row r="427" customFormat="false" ht="15" hidden="false" customHeight="false" outlineLevel="0" collapsed="false">
      <c r="A427" s="3" t="n">
        <v>56787</v>
      </c>
      <c r="B427" s="3" t="n">
        <v>187511</v>
      </c>
      <c r="C427" s="18" t="n">
        <v>418</v>
      </c>
      <c r="D427" s="18" t="n">
        <v>418</v>
      </c>
      <c r="E427" s="19" t="n">
        <v>363.958766152414</v>
      </c>
      <c r="F427" s="19" t="n">
        <v>383.972934485623</v>
      </c>
      <c r="G427" s="12" t="n">
        <f aca="false">E427/Combined_Summary!$B$23</f>
        <v>1455.83506460966</v>
      </c>
      <c r="H427" s="12" t="n">
        <f aca="false">F427/Combined_Summary!$B$23</f>
        <v>1535.89173794249</v>
      </c>
      <c r="I427" s="12" t="n">
        <f aca="false">H427-G427</f>
        <v>80.0566733328349</v>
      </c>
      <c r="J427" s="13" t="n">
        <f aca="false">IF(G427=0,"",I427/G427)</f>
        <v>0.0549902082172337</v>
      </c>
    </row>
    <row r="428" customFormat="false" ht="15" hidden="false" customHeight="false" outlineLevel="0" collapsed="false">
      <c r="A428" s="3" t="n">
        <v>56788</v>
      </c>
      <c r="B428" s="3" t="n">
        <v>187514</v>
      </c>
      <c r="C428" s="18" t="n">
        <v>241</v>
      </c>
      <c r="D428" s="18" t="n">
        <v>241</v>
      </c>
      <c r="E428" s="19" t="n">
        <v>368.189933681884</v>
      </c>
      <c r="F428" s="19" t="n">
        <v>398.850025984262</v>
      </c>
      <c r="G428" s="12" t="n">
        <f aca="false">E428/Combined_Summary!$B$23</f>
        <v>1472.75973472754</v>
      </c>
      <c r="H428" s="12" t="n">
        <f aca="false">F428/Combined_Summary!$B$23</f>
        <v>1595.40010393705</v>
      </c>
      <c r="I428" s="12" t="n">
        <f aca="false">H428-G428</f>
        <v>122.640369209511</v>
      </c>
      <c r="J428" s="13" t="n">
        <f aca="false">IF(G428=0,"",I428/G428)</f>
        <v>0.0832724892714422</v>
      </c>
    </row>
    <row r="429" customFormat="false" ht="15" hidden="false" customHeight="false" outlineLevel="0" collapsed="false">
      <c r="A429" s="3" t="n">
        <v>56789</v>
      </c>
      <c r="B429" s="3" t="n">
        <v>643814</v>
      </c>
      <c r="C429" s="18" t="n">
        <v>16</v>
      </c>
      <c r="D429" s="18" t="n">
        <v>16</v>
      </c>
      <c r="E429" s="19" t="n">
        <v>327.050445556641</v>
      </c>
      <c r="F429" s="19" t="n">
        <v>350.871494293213</v>
      </c>
      <c r="G429" s="12" t="n">
        <f aca="false">E429/Combined_Summary!$B$23</f>
        <v>1308.20178222656</v>
      </c>
      <c r="H429" s="12" t="n">
        <f aca="false">F429/Combined_Summary!$B$23</f>
        <v>1403.48597717285</v>
      </c>
      <c r="I429" s="12" t="n">
        <f aca="false">H429-G429</f>
        <v>95.2841949462891</v>
      </c>
      <c r="J429" s="13" t="n">
        <f aca="false">IF(G429=0,"",I429/G429)</f>
        <v>0.0728360075951855</v>
      </c>
    </row>
    <row r="430" customFormat="false" ht="15" hidden="false" customHeight="false" outlineLevel="0" collapsed="false">
      <c r="A430" s="3" t="n">
        <v>56790</v>
      </c>
      <c r="B430" s="3" t="n">
        <v>187614</v>
      </c>
      <c r="C430" s="18" t="n">
        <v>554</v>
      </c>
      <c r="D430" s="18" t="n">
        <v>554</v>
      </c>
      <c r="E430" s="19" t="n">
        <v>356.396526474385</v>
      </c>
      <c r="F430" s="19" t="n">
        <v>383.811243105451</v>
      </c>
      <c r="G430" s="12" t="n">
        <f aca="false">E430/Combined_Summary!$B$23</f>
        <v>1425.58610589754</v>
      </c>
      <c r="H430" s="12" t="n">
        <f aca="false">F430/Combined_Summary!$B$23</f>
        <v>1535.2449724218</v>
      </c>
      <c r="I430" s="12" t="n">
        <f aca="false">H430-G430</f>
        <v>109.658866524266</v>
      </c>
      <c r="J430" s="13" t="n">
        <f aca="false">IF(G430=0,"",I430/G430)</f>
        <v>0.0769219523609384</v>
      </c>
    </row>
    <row r="431" customFormat="false" ht="15" hidden="false" customHeight="false" outlineLevel="0" collapsed="false">
      <c r="A431" s="3" t="n">
        <v>56799</v>
      </c>
      <c r="B431" s="3" t="n">
        <v>182274</v>
      </c>
      <c r="C431" s="18" t="n">
        <v>673</v>
      </c>
      <c r="D431" s="18" t="n">
        <v>673</v>
      </c>
      <c r="E431" s="19" t="n">
        <v>293.64026644113</v>
      </c>
      <c r="F431" s="19" t="n">
        <v>332.645507030289</v>
      </c>
      <c r="G431" s="12" t="n">
        <f aca="false">E431/Combined_Summary!$B$23</f>
        <v>1174.56106576452</v>
      </c>
      <c r="H431" s="12" t="n">
        <f aca="false">F431/Combined_Summary!$B$23</f>
        <v>1330.58202812115</v>
      </c>
      <c r="I431" s="12" t="n">
        <f aca="false">H431-G431</f>
        <v>156.020962356635</v>
      </c>
      <c r="J431" s="13" t="n">
        <f aca="false">IF(G431=0,"",I431/G431)</f>
        <v>0.132833419142054</v>
      </c>
    </row>
    <row r="432" customFormat="false" ht="15" hidden="false" customHeight="false" outlineLevel="0" collapsed="false">
      <c r="A432" s="3" t="n">
        <v>56800</v>
      </c>
      <c r="B432" s="3" t="n">
        <v>187646</v>
      </c>
      <c r="C432" s="18" t="n">
        <v>622</v>
      </c>
      <c r="D432" s="18" t="n">
        <v>622</v>
      </c>
      <c r="E432" s="19" t="n">
        <v>346.738721939529</v>
      </c>
      <c r="F432" s="19" t="n">
        <v>375.43164359335</v>
      </c>
      <c r="G432" s="12" t="n">
        <f aca="false">E432/Combined_Summary!$B$23</f>
        <v>1386.95488775811</v>
      </c>
      <c r="H432" s="12" t="n">
        <f aca="false">F432/Combined_Summary!$B$23</f>
        <v>1501.7265743734</v>
      </c>
      <c r="I432" s="12" t="n">
        <f aca="false">H432-G432</f>
        <v>114.771686615284</v>
      </c>
      <c r="J432" s="13" t="n">
        <f aca="false">IF(G432=0,"",I432/G432)</f>
        <v>0.0827508433246898</v>
      </c>
    </row>
    <row r="433" customFormat="false" ht="15" hidden="false" customHeight="false" outlineLevel="0" collapsed="false">
      <c r="A433" s="3" t="n">
        <v>56817</v>
      </c>
      <c r="B433" s="3" t="n">
        <v>597225</v>
      </c>
      <c r="C433" s="18" t="n">
        <v>16</v>
      </c>
      <c r="D433" s="18" t="n">
        <v>16</v>
      </c>
      <c r="E433" s="19" t="n">
        <v>145.375446557999</v>
      </c>
      <c r="F433" s="19" t="n">
        <v>176.462951183319</v>
      </c>
      <c r="G433" s="12" t="n">
        <f aca="false">E433/Combined_Summary!$B$23</f>
        <v>581.501786231995</v>
      </c>
      <c r="H433" s="12" t="n">
        <f aca="false">F433/Combined_Summary!$B$23</f>
        <v>705.851804733276</v>
      </c>
      <c r="I433" s="12" t="n">
        <f aca="false">H433-G433</f>
        <v>124.350018501282</v>
      </c>
      <c r="J433" s="13" t="n">
        <f aca="false">IF(G433=0,"",I433/G433)</f>
        <v>0.213842883109685</v>
      </c>
    </row>
    <row r="434" customFormat="false" ht="15" hidden="false" customHeight="false" outlineLevel="0" collapsed="false">
      <c r="A434" s="3" t="n">
        <v>56818</v>
      </c>
      <c r="B434" s="3" t="n">
        <v>643815</v>
      </c>
      <c r="C434" s="18" t="n">
        <v>16</v>
      </c>
      <c r="D434" s="18" t="n">
        <v>16</v>
      </c>
      <c r="E434" s="19" t="n">
        <v>329.161504745483</v>
      </c>
      <c r="F434" s="19" t="n">
        <v>353.611684799194</v>
      </c>
      <c r="G434" s="12" t="n">
        <f aca="false">E434/Combined_Summary!$B$23</f>
        <v>1316.64601898193</v>
      </c>
      <c r="H434" s="12" t="n">
        <f aca="false">F434/Combined_Summary!$B$23</f>
        <v>1414.44673919678</v>
      </c>
      <c r="I434" s="12" t="n">
        <f aca="false">H434-G434</f>
        <v>97.8007202148435</v>
      </c>
      <c r="J434" s="13" t="n">
        <f aca="false">IF(G434=0,"",I434/G434)</f>
        <v>0.0742801928573526</v>
      </c>
    </row>
    <row r="435" customFormat="false" ht="15" hidden="false" customHeight="false" outlineLevel="0" collapsed="false">
      <c r="A435" s="3" t="n">
        <v>56819</v>
      </c>
      <c r="B435" s="3" t="n">
        <v>187572</v>
      </c>
      <c r="C435" s="18" t="n">
        <v>379</v>
      </c>
      <c r="D435" s="18" t="n">
        <v>379</v>
      </c>
      <c r="E435" s="19" t="n">
        <v>307.888637039466</v>
      </c>
      <c r="F435" s="19" t="n">
        <v>346.193796927822</v>
      </c>
      <c r="G435" s="12" t="n">
        <f aca="false">E435/Combined_Summary!$B$23</f>
        <v>1231.55454815787</v>
      </c>
      <c r="H435" s="12" t="n">
        <f aca="false">F435/Combined_Summary!$B$23</f>
        <v>1384.77518771129</v>
      </c>
      <c r="I435" s="12" t="n">
        <f aca="false">H435-G435</f>
        <v>153.220639553422</v>
      </c>
      <c r="J435" s="13" t="n">
        <f aca="false">IF(G435=0,"",I435/G435)</f>
        <v>0.124412385779101</v>
      </c>
    </row>
    <row r="436" customFormat="false" ht="15" hidden="false" customHeight="false" outlineLevel="0" collapsed="false">
      <c r="A436" s="3" t="n">
        <v>56835</v>
      </c>
      <c r="B436" s="3" t="n">
        <v>182277</v>
      </c>
      <c r="C436" s="18" t="n">
        <v>585</v>
      </c>
      <c r="D436" s="18" t="n">
        <v>585</v>
      </c>
      <c r="E436" s="19" t="n">
        <v>354.609003494132</v>
      </c>
      <c r="F436" s="19" t="n">
        <v>380.241194374541</v>
      </c>
      <c r="G436" s="12" t="n">
        <f aca="false">E436/Combined_Summary!$B$23</f>
        <v>1418.43601397653</v>
      </c>
      <c r="H436" s="12" t="n">
        <f aca="false">F436/Combined_Summary!$B$23</f>
        <v>1520.96477749816</v>
      </c>
      <c r="I436" s="12" t="n">
        <f aca="false">H436-G436</f>
        <v>102.528763521635</v>
      </c>
      <c r="J436" s="13" t="n">
        <f aca="false">IF(G436=0,"",I436/G436)</f>
        <v>0.0722829669518891</v>
      </c>
    </row>
    <row r="437" customFormat="false" ht="15" hidden="false" customHeight="false" outlineLevel="0" collapsed="false">
      <c r="A437" s="3" t="n">
        <v>56836</v>
      </c>
      <c r="B437" s="3" t="n">
        <v>182140</v>
      </c>
      <c r="C437" s="18" t="n">
        <v>308</v>
      </c>
      <c r="D437" s="18" t="n">
        <v>308</v>
      </c>
      <c r="E437" s="19" t="n">
        <v>288.041230982</v>
      </c>
      <c r="F437" s="19" t="n">
        <v>316.300011077485</v>
      </c>
      <c r="G437" s="12" t="n">
        <f aca="false">E437/Combined_Summary!$B$23</f>
        <v>1152.164923928</v>
      </c>
      <c r="H437" s="12" t="n">
        <f aca="false">F437/Combined_Summary!$B$23</f>
        <v>1265.20004430994</v>
      </c>
      <c r="I437" s="12" t="n">
        <f aca="false">H437-G437</f>
        <v>113.035120381938</v>
      </c>
      <c r="J437" s="13" t="n">
        <f aca="false">IF(G437=0,"",I437/G437)</f>
        <v>0.0981067189552816</v>
      </c>
    </row>
    <row r="438" customFormat="false" ht="15" hidden="false" customHeight="false" outlineLevel="0" collapsed="false">
      <c r="A438" s="3" t="n">
        <v>56837</v>
      </c>
      <c r="B438" s="3" t="n">
        <v>182524</v>
      </c>
      <c r="C438" s="18" t="n">
        <v>475</v>
      </c>
      <c r="D438" s="18" t="n">
        <v>475</v>
      </c>
      <c r="E438" s="19" t="n">
        <v>327.278690715589</v>
      </c>
      <c r="F438" s="19" t="n">
        <v>355.770182880602</v>
      </c>
      <c r="G438" s="12" t="n">
        <f aca="false">E438/Combined_Summary!$B$23</f>
        <v>1309.11476286236</v>
      </c>
      <c r="H438" s="12" t="n">
        <f aca="false">F438/Combined_Summary!$B$23</f>
        <v>1423.08073152241</v>
      </c>
      <c r="I438" s="12" t="n">
        <f aca="false">H438-G438</f>
        <v>113.965968660054</v>
      </c>
      <c r="J438" s="13" t="n">
        <f aca="false">IF(G438=0,"",I438/G438)</f>
        <v>0.0870557508731085</v>
      </c>
    </row>
    <row r="439" customFormat="false" ht="15" hidden="false" customHeight="false" outlineLevel="0" collapsed="false">
      <c r="A439" s="3" t="n">
        <v>56838</v>
      </c>
      <c r="B439" s="3" t="n">
        <v>182554</v>
      </c>
      <c r="C439" s="18" t="n">
        <v>487</v>
      </c>
      <c r="D439" s="18" t="n">
        <v>487</v>
      </c>
      <c r="E439" s="19" t="n">
        <v>354.15660549532</v>
      </c>
      <c r="F439" s="19" t="n">
        <v>383.330965422017</v>
      </c>
      <c r="G439" s="12" t="n">
        <f aca="false">E439/Combined_Summary!$B$23</f>
        <v>1416.62642198128</v>
      </c>
      <c r="H439" s="12" t="n">
        <f aca="false">F439/Combined_Summary!$B$23</f>
        <v>1533.32386168807</v>
      </c>
      <c r="I439" s="12" t="n">
        <f aca="false">H439-G439</f>
        <v>116.697439706791</v>
      </c>
      <c r="J439" s="13" t="n">
        <f aca="false">IF(G439=0,"",I439/G439)</f>
        <v>0.0823770034894444</v>
      </c>
    </row>
    <row r="440" customFormat="false" ht="15" hidden="false" customHeight="false" outlineLevel="0" collapsed="false">
      <c r="A440" s="3" t="n">
        <v>56839</v>
      </c>
      <c r="B440" s="3" t="n">
        <v>187562</v>
      </c>
      <c r="C440" s="18" t="n">
        <v>315</v>
      </c>
      <c r="D440" s="18" t="n">
        <v>315</v>
      </c>
      <c r="E440" s="19" t="n">
        <v>325.484048752558</v>
      </c>
      <c r="F440" s="19" t="n">
        <v>358.708143349299</v>
      </c>
      <c r="G440" s="12" t="n">
        <f aca="false">E440/Combined_Summary!$B$23</f>
        <v>1301.93619501023</v>
      </c>
      <c r="H440" s="12" t="n">
        <f aca="false">F440/Combined_Summary!$B$23</f>
        <v>1434.8325733972</v>
      </c>
      <c r="I440" s="12" t="n">
        <f aca="false">H440-G440</f>
        <v>132.896378386966</v>
      </c>
      <c r="J440" s="13" t="n">
        <f aca="false">IF(G440=0,"",I440/G440)</f>
        <v>0.102075953411774</v>
      </c>
    </row>
    <row r="441" customFormat="false" ht="15" hidden="false" customHeight="false" outlineLevel="0" collapsed="false">
      <c r="A441" s="3" t="n">
        <v>56840</v>
      </c>
      <c r="B441" s="3" t="n">
        <v>187576</v>
      </c>
      <c r="C441" s="18" t="n">
        <v>603</v>
      </c>
      <c r="D441" s="18" t="n">
        <v>603</v>
      </c>
      <c r="E441" s="19" t="n">
        <v>336.101628988339</v>
      </c>
      <c r="F441" s="19" t="n">
        <v>363.783850408905</v>
      </c>
      <c r="G441" s="12" t="n">
        <f aca="false">E441/Combined_Summary!$B$23</f>
        <v>1344.40651595335</v>
      </c>
      <c r="H441" s="12" t="n">
        <f aca="false">F441/Combined_Summary!$B$23</f>
        <v>1455.13540163562</v>
      </c>
      <c r="I441" s="12" t="n">
        <f aca="false">H441-G441</f>
        <v>110.728885682266</v>
      </c>
      <c r="J441" s="13" t="n">
        <f aca="false">IF(G441=0,"",I441/G441)</f>
        <v>0.0823626517487869</v>
      </c>
    </row>
    <row r="442" customFormat="false" ht="15" hidden="false" customHeight="false" outlineLevel="0" collapsed="false">
      <c r="A442" s="3" t="n">
        <v>56841</v>
      </c>
      <c r="B442" s="3" t="n">
        <v>187577</v>
      </c>
      <c r="C442" s="18" t="n">
        <v>585</v>
      </c>
      <c r="D442" s="18" t="n">
        <v>585</v>
      </c>
      <c r="E442" s="19" t="n">
        <v>347.404211008447</v>
      </c>
      <c r="F442" s="19" t="n">
        <v>382.254479276217</v>
      </c>
      <c r="G442" s="12" t="n">
        <f aca="false">E442/Combined_Summary!$B$23</f>
        <v>1389.61684403379</v>
      </c>
      <c r="H442" s="12" t="n">
        <f aca="false">F442/Combined_Summary!$B$23</f>
        <v>1529.01791710487</v>
      </c>
      <c r="I442" s="12" t="n">
        <f aca="false">H442-G442</f>
        <v>139.40107307108</v>
      </c>
      <c r="J442" s="13" t="n">
        <f aca="false">IF(G442=0,"",I442/G442)</f>
        <v>0.10031619411465</v>
      </c>
    </row>
    <row r="443" customFormat="false" ht="15" hidden="false" customHeight="false" outlineLevel="0" collapsed="false">
      <c r="A443" s="3" t="n">
        <v>56842</v>
      </c>
      <c r="B443" s="3" t="n">
        <v>463405</v>
      </c>
      <c r="C443" s="18" t="n">
        <v>1391</v>
      </c>
      <c r="D443" s="18" t="n">
        <v>1391</v>
      </c>
      <c r="E443" s="19" t="n">
        <v>350.036373980349</v>
      </c>
      <c r="F443" s="19" t="n">
        <v>381.030199655606</v>
      </c>
      <c r="G443" s="12" t="n">
        <f aca="false">E443/Combined_Summary!$B$23</f>
        <v>1400.14549592139</v>
      </c>
      <c r="H443" s="12" t="n">
        <f aca="false">F443/Combined_Summary!$B$23</f>
        <v>1524.12079862242</v>
      </c>
      <c r="I443" s="12" t="n">
        <f aca="false">H443-G443</f>
        <v>123.975302701027</v>
      </c>
      <c r="J443" s="13" t="n">
        <f aca="false">IF(G443=0,"",I443/G443)</f>
        <v>0.0885445855892589</v>
      </c>
    </row>
    <row r="444" customFormat="false" ht="15" hidden="false" customHeight="false" outlineLevel="0" collapsed="false">
      <c r="A444" s="3" t="n">
        <v>56843</v>
      </c>
      <c r="B444" s="3" t="n">
        <v>187644</v>
      </c>
      <c r="C444" s="18" t="n">
        <v>525</v>
      </c>
      <c r="D444" s="18" t="n">
        <v>525</v>
      </c>
      <c r="E444" s="19" t="n">
        <v>308.815229579381</v>
      </c>
      <c r="F444" s="19" t="n">
        <v>347.226825023833</v>
      </c>
      <c r="G444" s="12" t="n">
        <f aca="false">E444/Combined_Summary!$B$23</f>
        <v>1235.26091831752</v>
      </c>
      <c r="H444" s="12" t="n">
        <f aca="false">F444/Combined_Summary!$B$23</f>
        <v>1388.90730009533</v>
      </c>
      <c r="I444" s="12" t="n">
        <f aca="false">H444-G444</f>
        <v>153.646381777809</v>
      </c>
      <c r="J444" s="13" t="n">
        <f aca="false">IF(G444=0,"",I444/G444)</f>
        <v>0.124383747190093</v>
      </c>
    </row>
    <row r="445" customFormat="false" ht="15" hidden="false" customHeight="false" outlineLevel="0" collapsed="false">
      <c r="A445" s="3" t="n">
        <v>56858</v>
      </c>
      <c r="B445" s="3" t="n">
        <v>193896</v>
      </c>
      <c r="C445" s="18" t="n">
        <v>330</v>
      </c>
      <c r="D445" s="18" t="n">
        <v>330</v>
      </c>
      <c r="E445" s="19" t="n">
        <v>275.993733758637</v>
      </c>
      <c r="F445" s="19" t="n">
        <v>321.663983131178</v>
      </c>
      <c r="G445" s="12" t="n">
        <f aca="false">E445/Combined_Summary!$B$23</f>
        <v>1103.97493503455</v>
      </c>
      <c r="H445" s="12" t="n">
        <f aca="false">F445/Combined_Summary!$B$23</f>
        <v>1286.65593252471</v>
      </c>
      <c r="I445" s="12" t="n">
        <f aca="false">H445-G445</f>
        <v>182.68099749016</v>
      </c>
      <c r="J445" s="13" t="n">
        <f aca="false">IF(G445=0,"",I445/G445)</f>
        <v>0.165475674938619</v>
      </c>
    </row>
    <row r="446" customFormat="false" ht="15" hidden="false" customHeight="false" outlineLevel="0" collapsed="false">
      <c r="A446" s="3" t="n">
        <v>56859</v>
      </c>
      <c r="B446" s="3" t="n">
        <v>187424</v>
      </c>
      <c r="C446" s="18" t="n">
        <v>524</v>
      </c>
      <c r="D446" s="18" t="n">
        <v>524</v>
      </c>
      <c r="E446" s="19" t="n">
        <v>366.534755138951</v>
      </c>
      <c r="F446" s="19" t="n">
        <v>394.295174649654</v>
      </c>
      <c r="G446" s="12" t="n">
        <f aca="false">E446/Combined_Summary!$B$23</f>
        <v>1466.1390205558</v>
      </c>
      <c r="H446" s="12" t="n">
        <f aca="false">F446/Combined_Summary!$B$23</f>
        <v>1577.18069859861</v>
      </c>
      <c r="I446" s="12" t="n">
        <f aca="false">H446-G446</f>
        <v>111.041678042812</v>
      </c>
      <c r="J446" s="13" t="n">
        <f aca="false">IF(G446=0,"",I446/G446)</f>
        <v>0.0757374822482502</v>
      </c>
    </row>
    <row r="447" customFormat="false" ht="15" hidden="false" customHeight="false" outlineLevel="0" collapsed="false">
      <c r="A447" s="3" t="n">
        <v>56860</v>
      </c>
      <c r="B447" s="3" t="n">
        <v>187433</v>
      </c>
      <c r="C447" s="18" t="n">
        <v>713</v>
      </c>
      <c r="D447" s="18" t="n">
        <v>713</v>
      </c>
      <c r="E447" s="19" t="n">
        <v>321.133442486821</v>
      </c>
      <c r="F447" s="19" t="n">
        <v>352.495518592096</v>
      </c>
      <c r="G447" s="12" t="n">
        <f aca="false">E447/Combined_Summary!$B$23</f>
        <v>1284.53376994728</v>
      </c>
      <c r="H447" s="12" t="n">
        <f aca="false">F447/Combined_Summary!$B$23</f>
        <v>1409.98207436838</v>
      </c>
      <c r="I447" s="12" t="n">
        <f aca="false">H447-G447</f>
        <v>125.448304421102</v>
      </c>
      <c r="J447" s="13" t="n">
        <f aca="false">IF(G447=0,"",I447/G447)</f>
        <v>0.0976605733193382</v>
      </c>
    </row>
    <row r="448" customFormat="false" ht="15" hidden="false" customHeight="false" outlineLevel="0" collapsed="false">
      <c r="A448" s="3" t="n">
        <v>56873</v>
      </c>
      <c r="B448" s="3" t="n">
        <v>182517</v>
      </c>
      <c r="C448" s="18" t="n">
        <v>447</v>
      </c>
      <c r="D448" s="18" t="n">
        <v>447</v>
      </c>
      <c r="E448" s="19" t="n">
        <v>348.058704777319</v>
      </c>
      <c r="F448" s="19" t="n">
        <v>378.556171118546</v>
      </c>
      <c r="G448" s="12" t="n">
        <f aca="false">E448/Combined_Summary!$B$23</f>
        <v>1392.23481910927</v>
      </c>
      <c r="H448" s="12" t="n">
        <f aca="false">F448/Combined_Summary!$B$23</f>
        <v>1514.22468447419</v>
      </c>
      <c r="I448" s="12" t="n">
        <f aca="false">H448-G448</f>
        <v>121.989865364911</v>
      </c>
      <c r="J448" s="13" t="n">
        <f aca="false">IF(G448=0,"",I448/G448)</f>
        <v>0.0876216164762766</v>
      </c>
    </row>
    <row r="449" customFormat="false" ht="15" hidden="false" customHeight="false" outlineLevel="0" collapsed="false">
      <c r="A449" s="3" t="n">
        <v>56874</v>
      </c>
      <c r="B449" s="3" t="n">
        <v>187423</v>
      </c>
      <c r="C449" s="18" t="n">
        <v>562</v>
      </c>
      <c r="D449" s="18" t="n">
        <v>562</v>
      </c>
      <c r="E449" s="19" t="n">
        <v>367.152559110703</v>
      </c>
      <c r="F449" s="19" t="n">
        <v>390.076526234583</v>
      </c>
      <c r="G449" s="12" t="n">
        <f aca="false">E449/Combined_Summary!$B$23</f>
        <v>1468.61023644281</v>
      </c>
      <c r="H449" s="12" t="n">
        <f aca="false">F449/Combined_Summary!$B$23</f>
        <v>1560.30610493833</v>
      </c>
      <c r="I449" s="12" t="n">
        <f aca="false">H449-G449</f>
        <v>91.6958684955202</v>
      </c>
      <c r="J449" s="13" t="n">
        <f aca="false">IF(G449=0,"",I449/G449)</f>
        <v>0.0624371710206931</v>
      </c>
    </row>
    <row r="450" customFormat="false" ht="15" hidden="false" customHeight="false" outlineLevel="0" collapsed="false">
      <c r="A450" s="3" t="n">
        <v>56891</v>
      </c>
      <c r="B450" s="3" t="n">
        <v>182544</v>
      </c>
      <c r="C450" s="18" t="n">
        <v>727</v>
      </c>
      <c r="D450" s="18" t="n">
        <v>727</v>
      </c>
      <c r="E450" s="19" t="n">
        <v>329.375875328725</v>
      </c>
      <c r="F450" s="19" t="n">
        <v>355.758727618064</v>
      </c>
      <c r="G450" s="12" t="n">
        <f aca="false">E450/Combined_Summary!$B$23</f>
        <v>1317.5035013149</v>
      </c>
      <c r="H450" s="12" t="n">
        <f aca="false">F450/Combined_Summary!$B$23</f>
        <v>1423.03491047226</v>
      </c>
      <c r="I450" s="12" t="n">
        <f aca="false">H450-G450</f>
        <v>105.531409157355</v>
      </c>
      <c r="J450" s="13" t="n">
        <f aca="false">IF(G450=0,"",I450/G450)</f>
        <v>0.0800995284278429</v>
      </c>
    </row>
    <row r="451" customFormat="false" ht="15" hidden="false" customHeight="false" outlineLevel="0" collapsed="false">
      <c r="A451" s="3" t="n">
        <v>56892</v>
      </c>
      <c r="B451" s="3" t="n">
        <v>182294</v>
      </c>
      <c r="C451" s="18" t="n">
        <v>427</v>
      </c>
      <c r="D451" s="18" t="n">
        <v>427</v>
      </c>
      <c r="E451" s="19" t="n">
        <v>333.100924793395</v>
      </c>
      <c r="F451" s="19" t="n">
        <v>357.474221544467</v>
      </c>
      <c r="G451" s="12" t="n">
        <f aca="false">E451/Combined_Summary!$B$23</f>
        <v>1332.40369917358</v>
      </c>
      <c r="H451" s="12" t="n">
        <f aca="false">F451/Combined_Summary!$B$23</f>
        <v>1429.89688617787</v>
      </c>
      <c r="I451" s="12" t="n">
        <f aca="false">H451-G451</f>
        <v>97.4931870042856</v>
      </c>
      <c r="J451" s="13" t="n">
        <f aca="false">IF(G451=0,"",I451/G451)</f>
        <v>0.0731709068841188</v>
      </c>
    </row>
    <row r="452" customFormat="false" ht="15" hidden="false" customHeight="false" outlineLevel="0" collapsed="false">
      <c r="A452" s="3" t="n">
        <v>56893</v>
      </c>
      <c r="B452" s="3" t="n">
        <v>188661</v>
      </c>
      <c r="C452" s="18" t="n">
        <v>684</v>
      </c>
      <c r="D452" s="18" t="n">
        <v>684</v>
      </c>
      <c r="E452" s="19" t="n">
        <v>332.590133962576</v>
      </c>
      <c r="F452" s="19" t="n">
        <v>368.464526527806</v>
      </c>
      <c r="G452" s="12" t="n">
        <f aca="false">E452/Combined_Summary!$B$23</f>
        <v>1330.3605358503</v>
      </c>
      <c r="H452" s="12" t="n">
        <f aca="false">F452/Combined_Summary!$B$23</f>
        <v>1473.85810611123</v>
      </c>
      <c r="I452" s="12" t="n">
        <f aca="false">H452-G452</f>
        <v>143.497570260924</v>
      </c>
      <c r="J452" s="13" t="n">
        <f aca="false">IF(G452=0,"",I452/G452)</f>
        <v>0.107863670331447</v>
      </c>
    </row>
    <row r="453" customFormat="false" ht="15" hidden="false" customHeight="false" outlineLevel="0" collapsed="false">
      <c r="A453" s="3" t="n">
        <v>56894</v>
      </c>
      <c r="B453" s="3" t="n">
        <v>187430</v>
      </c>
      <c r="C453" s="18" t="n">
        <v>320</v>
      </c>
      <c r="D453" s="18" t="n">
        <v>320</v>
      </c>
      <c r="E453" s="19" t="n">
        <v>330.150051617622</v>
      </c>
      <c r="F453" s="19" t="n">
        <v>358.737687444687</v>
      </c>
      <c r="G453" s="12" t="n">
        <f aca="false">E453/Combined_Summary!$B$23</f>
        <v>1320.60020647049</v>
      </c>
      <c r="H453" s="12" t="n">
        <f aca="false">F453/Combined_Summary!$B$23</f>
        <v>1434.95074977875</v>
      </c>
      <c r="I453" s="12" t="n">
        <f aca="false">H453-G453</f>
        <v>114.350543308258</v>
      </c>
      <c r="J453" s="13" t="n">
        <f aca="false">IF(G453=0,"",I453/G453)</f>
        <v>0.0865898269195927</v>
      </c>
    </row>
    <row r="454" customFormat="false" ht="15" hidden="false" customHeight="false" outlineLevel="0" collapsed="false">
      <c r="A454" s="3" t="n">
        <v>56895</v>
      </c>
      <c r="B454" s="3" t="n">
        <v>188663</v>
      </c>
      <c r="C454" s="18" t="n">
        <v>584</v>
      </c>
      <c r="D454" s="18" t="n">
        <v>584</v>
      </c>
      <c r="E454" s="19" t="n">
        <v>342.459043097823</v>
      </c>
      <c r="F454" s="19" t="n">
        <v>372.894204727591</v>
      </c>
      <c r="G454" s="12" t="n">
        <f aca="false">E454/Combined_Summary!$B$23</f>
        <v>1369.83617239129</v>
      </c>
      <c r="H454" s="12" t="n">
        <f aca="false">F454/Combined_Summary!$B$23</f>
        <v>1491.57681891036</v>
      </c>
      <c r="I454" s="12" t="n">
        <f aca="false">H454-G454</f>
        <v>121.740646519073</v>
      </c>
      <c r="J454" s="13" t="n">
        <f aca="false">IF(G454=0,"",I454/G454)</f>
        <v>0.0888724133387085</v>
      </c>
    </row>
    <row r="455" customFormat="false" ht="15" hidden="false" customHeight="false" outlineLevel="0" collapsed="false">
      <c r="A455" s="3" t="n">
        <v>56907</v>
      </c>
      <c r="B455" s="3" t="n">
        <v>180966</v>
      </c>
      <c r="C455" s="18" t="n">
        <v>686</v>
      </c>
      <c r="D455" s="18" t="n">
        <v>686</v>
      </c>
      <c r="E455" s="19" t="n">
        <v>359.230979291065</v>
      </c>
      <c r="F455" s="19" t="n">
        <v>380.814333501432</v>
      </c>
      <c r="G455" s="12" t="n">
        <f aca="false">E455/Combined_Summary!$B$23</f>
        <v>1436.92391716426</v>
      </c>
      <c r="H455" s="12" t="n">
        <f aca="false">F455/Combined_Summary!$B$23</f>
        <v>1523.25733400573</v>
      </c>
      <c r="I455" s="12" t="n">
        <f aca="false">H455-G455</f>
        <v>86.3334168414679</v>
      </c>
      <c r="J455" s="13" t="n">
        <f aca="false">IF(G455=0,"",I455/G455)</f>
        <v>0.0600821072084631</v>
      </c>
    </row>
    <row r="456" customFormat="false" ht="15" hidden="false" customHeight="false" outlineLevel="0" collapsed="false">
      <c r="A456" s="3" t="n">
        <v>56908</v>
      </c>
      <c r="B456" s="3" t="n">
        <v>180957</v>
      </c>
      <c r="C456" s="18" t="n">
        <v>825</v>
      </c>
      <c r="D456" s="18" t="n">
        <v>825</v>
      </c>
      <c r="E456" s="19" t="n">
        <v>344.053474444765</v>
      </c>
      <c r="F456" s="19" t="n">
        <v>370.120527750651</v>
      </c>
      <c r="G456" s="12" t="n">
        <f aca="false">E456/Combined_Summary!$B$23</f>
        <v>1376.21389777906</v>
      </c>
      <c r="H456" s="12" t="n">
        <f aca="false">F456/Combined_Summary!$B$23</f>
        <v>1480.4821110026</v>
      </c>
      <c r="I456" s="12" t="n">
        <f aca="false">H456-G456</f>
        <v>104.268213223544</v>
      </c>
      <c r="J456" s="13" t="n">
        <f aca="false">IF(G456=0,"",I456/G456)</f>
        <v>0.0757645402301287</v>
      </c>
    </row>
    <row r="457" customFormat="false" ht="15" hidden="false" customHeight="false" outlineLevel="0" collapsed="false">
      <c r="A457" s="3" t="n">
        <v>56909</v>
      </c>
      <c r="B457" s="3" t="n">
        <v>182450</v>
      </c>
      <c r="C457" s="18" t="n">
        <v>432</v>
      </c>
      <c r="D457" s="18" t="n">
        <v>432</v>
      </c>
      <c r="E457" s="19" t="n">
        <v>352.354796656856</v>
      </c>
      <c r="F457" s="19" t="n">
        <v>380.002185115108</v>
      </c>
      <c r="G457" s="12" t="n">
        <f aca="false">E457/Combined_Summary!$B$23</f>
        <v>1409.41918662742</v>
      </c>
      <c r="H457" s="12" t="n">
        <f aca="false">F457/Combined_Summary!$B$23</f>
        <v>1520.00874046043</v>
      </c>
      <c r="I457" s="12" t="n">
        <f aca="false">H457-G457</f>
        <v>110.589553833008</v>
      </c>
      <c r="J457" s="13" t="n">
        <f aca="false">IF(G457=0,"",I457/G457)</f>
        <v>0.0784646291765302</v>
      </c>
    </row>
    <row r="458" customFormat="false" ht="15" hidden="false" customHeight="false" outlineLevel="0" collapsed="false">
      <c r="A458" s="3" t="n">
        <v>56928</v>
      </c>
      <c r="B458" s="3" t="n">
        <v>182474</v>
      </c>
      <c r="C458" s="18" t="n">
        <v>780</v>
      </c>
      <c r="D458" s="18" t="n">
        <v>780</v>
      </c>
      <c r="E458" s="19" t="n">
        <v>344.838328796778</v>
      </c>
      <c r="F458" s="19" t="n">
        <v>374.289702019325</v>
      </c>
      <c r="G458" s="12" t="n">
        <f aca="false">E458/Combined_Summary!$B$23</f>
        <v>1379.35331518711</v>
      </c>
      <c r="H458" s="12" t="n">
        <f aca="false">F458/Combined_Summary!$B$23</f>
        <v>1497.1588080773</v>
      </c>
      <c r="I458" s="12" t="n">
        <f aca="false">H458-G458</f>
        <v>117.805492890187</v>
      </c>
      <c r="J458" s="13" t="n">
        <f aca="false">IF(G458=0,"",I458/G458)</f>
        <v>0.0854063216386345</v>
      </c>
    </row>
    <row r="459" customFormat="false" ht="15" hidden="false" customHeight="false" outlineLevel="0" collapsed="false">
      <c r="A459" s="3" t="n">
        <v>56929</v>
      </c>
      <c r="B459" s="3" t="n">
        <v>187672</v>
      </c>
      <c r="C459" s="18" t="n">
        <v>436</v>
      </c>
      <c r="D459" s="18" t="n">
        <v>436</v>
      </c>
      <c r="E459" s="19" t="n">
        <v>336.764799747992</v>
      </c>
      <c r="F459" s="19" t="n">
        <v>360.271646604626</v>
      </c>
      <c r="G459" s="12" t="n">
        <f aca="false">E459/Combined_Summary!$B$23</f>
        <v>1347.05919899197</v>
      </c>
      <c r="H459" s="12" t="n">
        <f aca="false">F459/Combined_Summary!$B$23</f>
        <v>1441.0865864185</v>
      </c>
      <c r="I459" s="12" t="n">
        <f aca="false">H459-G459</f>
        <v>94.027387426534</v>
      </c>
      <c r="J459" s="13" t="n">
        <f aca="false">IF(G459=0,"",I459/G459)</f>
        <v>0.0698019712102457</v>
      </c>
    </row>
    <row r="460" customFormat="false" ht="15" hidden="false" customHeight="false" outlineLevel="0" collapsed="false">
      <c r="A460" s="3" t="n">
        <v>56930</v>
      </c>
      <c r="B460" s="3" t="n">
        <v>638057</v>
      </c>
      <c r="C460" s="18" t="n">
        <v>16</v>
      </c>
      <c r="D460" s="18" t="n">
        <v>16</v>
      </c>
      <c r="E460" s="19" t="n">
        <v>283.136780738831</v>
      </c>
      <c r="F460" s="19" t="n">
        <v>321.738525390625</v>
      </c>
      <c r="G460" s="12" t="n">
        <f aca="false">E460/Combined_Summary!$B$23</f>
        <v>1132.54712295532</v>
      </c>
      <c r="H460" s="12" t="n">
        <f aca="false">F460/Combined_Summary!$B$23</f>
        <v>1286.9541015625</v>
      </c>
      <c r="I460" s="12" t="n">
        <f aca="false">H460-G460</f>
        <v>154.406978607178</v>
      </c>
      <c r="J460" s="13" t="n">
        <f aca="false">IF(G460=0,"",I460/G460)</f>
        <v>0.136336030066688</v>
      </c>
    </row>
    <row r="461" customFormat="false" ht="15" hidden="false" customHeight="false" outlineLevel="0" collapsed="false">
      <c r="A461" s="3" t="n">
        <v>56948</v>
      </c>
      <c r="B461" s="3" t="n">
        <v>180956</v>
      </c>
      <c r="C461" s="18" t="n">
        <v>772</v>
      </c>
      <c r="D461" s="18" t="n">
        <v>772</v>
      </c>
      <c r="E461" s="19" t="n">
        <v>319.044676222332</v>
      </c>
      <c r="F461" s="19" t="n">
        <v>345.663817618177</v>
      </c>
      <c r="G461" s="12" t="n">
        <f aca="false">E461/Combined_Summary!$B$23</f>
        <v>1276.17870488933</v>
      </c>
      <c r="H461" s="12" t="n">
        <f aca="false">F461/Combined_Summary!$B$23</f>
        <v>1382.65527047271</v>
      </c>
      <c r="I461" s="12" t="n">
        <f aca="false">H461-G461</f>
        <v>106.476565583382</v>
      </c>
      <c r="J461" s="13" t="n">
        <f aca="false">IF(G461=0,"",I461/G461)</f>
        <v>0.083433899324167</v>
      </c>
    </row>
    <row r="462" customFormat="false" ht="15" hidden="false" customHeight="false" outlineLevel="0" collapsed="false">
      <c r="A462" s="3" t="n">
        <v>56949</v>
      </c>
      <c r="B462" s="3" t="n">
        <v>182472</v>
      </c>
      <c r="C462" s="18" t="n">
        <v>594</v>
      </c>
      <c r="D462" s="18" t="n">
        <v>594</v>
      </c>
      <c r="E462" s="19" t="n">
        <v>338.346953215422</v>
      </c>
      <c r="F462" s="19" t="n">
        <v>371.229955204408</v>
      </c>
      <c r="G462" s="12" t="n">
        <f aca="false">E462/Combined_Summary!$B$23</f>
        <v>1353.38781286169</v>
      </c>
      <c r="H462" s="12" t="n">
        <f aca="false">F462/Combined_Summary!$B$23</f>
        <v>1484.91982081763</v>
      </c>
      <c r="I462" s="12" t="n">
        <f aca="false">H462-G462</f>
        <v>131.532007955943</v>
      </c>
      <c r="J462" s="13" t="n">
        <f aca="false">IF(G462=0,"",I462/G462)</f>
        <v>0.0971872265332607</v>
      </c>
    </row>
    <row r="463" customFormat="false" ht="15" hidden="false" customHeight="false" outlineLevel="0" collapsed="false">
      <c r="A463" s="3" t="n">
        <v>56950</v>
      </c>
      <c r="B463" s="3" t="n">
        <v>188672</v>
      </c>
      <c r="C463" s="18" t="n">
        <v>494</v>
      </c>
      <c r="D463" s="18" t="n">
        <v>494</v>
      </c>
      <c r="E463" s="19" t="n">
        <v>335.858762192823</v>
      </c>
      <c r="F463" s="19" t="n">
        <v>368.688781861834</v>
      </c>
      <c r="G463" s="12" t="n">
        <f aca="false">E463/Combined_Summary!$B$23</f>
        <v>1343.43504877129</v>
      </c>
      <c r="H463" s="12" t="n">
        <f aca="false">F463/Combined_Summary!$B$23</f>
        <v>1474.75512744734</v>
      </c>
      <c r="I463" s="12" t="n">
        <f aca="false">H463-G463</f>
        <v>131.320078676046</v>
      </c>
      <c r="J463" s="13" t="n">
        <f aca="false">IF(G463=0,"",I463/G463)</f>
        <v>0.0977494809266376</v>
      </c>
    </row>
    <row r="464" customFormat="false" ht="15" hidden="false" customHeight="false" outlineLevel="0" collapsed="false">
      <c r="A464" s="3" t="n">
        <v>56951</v>
      </c>
      <c r="B464" s="3" t="n">
        <v>188675</v>
      </c>
      <c r="C464" s="18" t="n">
        <v>575</v>
      </c>
      <c r="D464" s="18" t="n">
        <v>575</v>
      </c>
      <c r="E464" s="19" t="n">
        <v>339.473659734311</v>
      </c>
      <c r="F464" s="19" t="n">
        <v>365.908142089844</v>
      </c>
      <c r="G464" s="12" t="n">
        <f aca="false">E464/Combined_Summary!$B$23</f>
        <v>1357.89463893725</v>
      </c>
      <c r="H464" s="12" t="n">
        <f aca="false">F464/Combined_Summary!$B$23</f>
        <v>1463.63256835938</v>
      </c>
      <c r="I464" s="12" t="n">
        <f aca="false">H464-G464</f>
        <v>105.73792942213</v>
      </c>
      <c r="J464" s="13" t="n">
        <f aca="false">IF(G464=0,"",I464/G464)</f>
        <v>0.077869023405885</v>
      </c>
    </row>
    <row r="465" customFormat="false" ht="15" hidden="false" customHeight="false" outlineLevel="0" collapsed="false">
      <c r="A465" s="3" t="n">
        <v>56952</v>
      </c>
      <c r="B465" s="3" t="n">
        <v>188678</v>
      </c>
      <c r="C465" s="18" t="n">
        <v>535</v>
      </c>
      <c r="D465" s="18" t="n">
        <v>535</v>
      </c>
      <c r="E465" s="19" t="n">
        <v>364.966586132584</v>
      </c>
      <c r="F465" s="19" t="n">
        <v>400.124301803446</v>
      </c>
      <c r="G465" s="12" t="n">
        <f aca="false">E465/Combined_Summary!$B$23</f>
        <v>1459.86634453034</v>
      </c>
      <c r="H465" s="12" t="n">
        <f aca="false">F465/Combined_Summary!$B$23</f>
        <v>1600.49720721379</v>
      </c>
      <c r="I465" s="12" t="n">
        <f aca="false">H465-G465</f>
        <v>140.630862683448</v>
      </c>
      <c r="J465" s="13" t="n">
        <f aca="false">IF(G465=0,"",I465/G465)</f>
        <v>0.0963313273234552</v>
      </c>
    </row>
    <row r="466" customFormat="false" ht="15" hidden="false" customHeight="false" outlineLevel="0" collapsed="false">
      <c r="A466" s="3" t="n">
        <v>56953</v>
      </c>
      <c r="B466" s="3" t="n">
        <v>187670</v>
      </c>
      <c r="C466" s="18" t="n">
        <v>419</v>
      </c>
      <c r="D466" s="18" t="n">
        <v>419</v>
      </c>
      <c r="E466" s="19" t="n">
        <v>348.617385263375</v>
      </c>
      <c r="F466" s="19" t="n">
        <v>368.237067648221</v>
      </c>
      <c r="G466" s="12" t="n">
        <f aca="false">E466/Combined_Summary!$B$23</f>
        <v>1394.4695410535</v>
      </c>
      <c r="H466" s="12" t="n">
        <f aca="false">F466/Combined_Summary!$B$23</f>
        <v>1472.94827059288</v>
      </c>
      <c r="I466" s="12" t="n">
        <f aca="false">H466-G466</f>
        <v>78.4787295393844</v>
      </c>
      <c r="J466" s="13" t="n">
        <f aca="false">IF(G466=0,"",I466/G466)</f>
        <v>0.0562785541232367</v>
      </c>
    </row>
    <row r="467" customFormat="false" ht="15" hidden="false" customHeight="false" outlineLevel="0" collapsed="false">
      <c r="A467" s="3" t="n">
        <v>56954</v>
      </c>
      <c r="B467" s="3" t="n">
        <v>187703</v>
      </c>
      <c r="C467" s="18" t="n">
        <v>429</v>
      </c>
      <c r="D467" s="18" t="n">
        <v>429</v>
      </c>
      <c r="E467" s="19" t="n">
        <v>357.306402779959</v>
      </c>
      <c r="F467" s="19" t="n">
        <v>379.543251126518</v>
      </c>
      <c r="G467" s="12" t="n">
        <f aca="false">E467/Combined_Summary!$B$23</f>
        <v>1429.22561111984</v>
      </c>
      <c r="H467" s="12" t="n">
        <f aca="false">F467/Combined_Summary!$B$23</f>
        <v>1518.17300450607</v>
      </c>
      <c r="I467" s="12" t="n">
        <f aca="false">H467-G467</f>
        <v>88.9473933862362</v>
      </c>
      <c r="J467" s="13" t="n">
        <f aca="false">IF(G467=0,"",I467/G467)</f>
        <v>0.0622346763829284</v>
      </c>
    </row>
    <row r="468" customFormat="false" ht="15" hidden="false" customHeight="false" outlineLevel="0" collapsed="false">
      <c r="A468" s="3" t="n">
        <v>56969</v>
      </c>
      <c r="B468" s="3" t="n">
        <v>180946</v>
      </c>
      <c r="C468" s="18" t="n">
        <v>673</v>
      </c>
      <c r="D468" s="18" t="n">
        <v>673</v>
      </c>
      <c r="E468" s="19" t="n">
        <v>337.737997341298</v>
      </c>
      <c r="F468" s="19" t="n">
        <v>362.507038688943</v>
      </c>
      <c r="G468" s="12" t="n">
        <f aca="false">E468/Combined_Summary!$B$23</f>
        <v>1350.95198936519</v>
      </c>
      <c r="H468" s="12" t="n">
        <f aca="false">F468/Combined_Summary!$B$23</f>
        <v>1450.02815475577</v>
      </c>
      <c r="I468" s="12" t="n">
        <f aca="false">H468-G468</f>
        <v>99.0761653905815</v>
      </c>
      <c r="J468" s="13" t="n">
        <f aca="false">IF(G468=0,"",I468/G468)</f>
        <v>0.0733380358225293</v>
      </c>
    </row>
    <row r="469" customFormat="false" ht="15" hidden="false" customHeight="false" outlineLevel="0" collapsed="false">
      <c r="A469" s="3" t="n">
        <v>56970</v>
      </c>
      <c r="B469" s="3" t="n">
        <v>180948</v>
      </c>
      <c r="C469" s="18" t="n">
        <v>660</v>
      </c>
      <c r="D469" s="18" t="n">
        <v>660</v>
      </c>
      <c r="E469" s="19" t="n">
        <v>310.308459056507</v>
      </c>
      <c r="F469" s="19" t="n">
        <v>338.818082474217</v>
      </c>
      <c r="G469" s="12" t="n">
        <f aca="false">E469/Combined_Summary!$B$23</f>
        <v>1241.23383622603</v>
      </c>
      <c r="H469" s="12" t="n">
        <f aca="false">F469/Combined_Summary!$B$23</f>
        <v>1355.27232989687</v>
      </c>
      <c r="I469" s="12" t="n">
        <f aca="false">H469-G469</f>
        <v>114.038493670839</v>
      </c>
      <c r="J469" s="13" t="n">
        <f aca="false">IF(G469=0,"",I469/G469)</f>
        <v>0.0918751087366206</v>
      </c>
    </row>
    <row r="470" customFormat="false" ht="15" hidden="false" customHeight="false" outlineLevel="0" collapsed="false">
      <c r="A470" s="3" t="n">
        <v>56971</v>
      </c>
      <c r="B470" s="3" t="n">
        <v>187418</v>
      </c>
      <c r="C470" s="18" t="n">
        <v>626</v>
      </c>
      <c r="D470" s="18" t="n">
        <v>626</v>
      </c>
      <c r="E470" s="19" t="n">
        <v>360.094151981342</v>
      </c>
      <c r="F470" s="19" t="n">
        <v>389.850536968</v>
      </c>
      <c r="G470" s="12" t="n">
        <f aca="false">E470/Combined_Summary!$B$23</f>
        <v>1440.37660792537</v>
      </c>
      <c r="H470" s="12" t="n">
        <f aca="false">F470/Combined_Summary!$B$23</f>
        <v>1559.402147872</v>
      </c>
      <c r="I470" s="12" t="n">
        <f aca="false">H470-G470</f>
        <v>119.025539946632</v>
      </c>
      <c r="J470" s="13" t="n">
        <f aca="false">IF(G470=0,"",I470/G470)</f>
        <v>0.0826350131567807</v>
      </c>
    </row>
    <row r="471" customFormat="false" ht="15" hidden="false" customHeight="false" outlineLevel="0" collapsed="false">
      <c r="A471" s="3" t="n">
        <v>56972</v>
      </c>
      <c r="B471" s="3" t="n">
        <v>187421</v>
      </c>
      <c r="C471" s="18" t="n">
        <v>699</v>
      </c>
      <c r="D471" s="18" t="n">
        <v>699</v>
      </c>
      <c r="E471" s="19" t="n">
        <v>322.752038467254</v>
      </c>
      <c r="F471" s="19" t="n">
        <v>357.05882889689</v>
      </c>
      <c r="G471" s="12" t="n">
        <f aca="false">E471/Combined_Summary!$B$23</f>
        <v>1291.00815386902</v>
      </c>
      <c r="H471" s="12" t="n">
        <f aca="false">F471/Combined_Summary!$B$23</f>
        <v>1428.23531558756</v>
      </c>
      <c r="I471" s="12" t="n">
        <f aca="false">H471-G471</f>
        <v>137.22716171854</v>
      </c>
      <c r="J471" s="13" t="n">
        <f aca="false">IF(G471=0,"",I471/G471)</f>
        <v>0.106294573978704</v>
      </c>
    </row>
    <row r="472" customFormat="false" ht="15" hidden="false" customHeight="false" outlineLevel="0" collapsed="false">
      <c r="A472" s="3" t="n">
        <v>56973</v>
      </c>
      <c r="B472" s="3" t="n">
        <v>188677</v>
      </c>
      <c r="C472" s="18" t="n">
        <v>655</v>
      </c>
      <c r="D472" s="18" t="n">
        <v>655</v>
      </c>
      <c r="E472" s="19" t="n">
        <v>279.497031099742</v>
      </c>
      <c r="F472" s="19" t="n">
        <v>319.203587318013</v>
      </c>
      <c r="G472" s="12" t="n">
        <f aca="false">E472/Combined_Summary!$B$23</f>
        <v>1117.98812439897</v>
      </c>
      <c r="H472" s="12" t="n">
        <f aca="false">F472/Combined_Summary!$B$23</f>
        <v>1276.81434927205</v>
      </c>
      <c r="I472" s="12" t="n">
        <f aca="false">H472-G472</f>
        <v>158.826224873084</v>
      </c>
      <c r="J472" s="13" t="n">
        <f aca="false">IF(G472=0,"",I472/G472)</f>
        <v>0.142064321978795</v>
      </c>
    </row>
    <row r="473" customFormat="false" ht="15" hidden="false" customHeight="false" outlineLevel="0" collapsed="false">
      <c r="A473" s="3" t="n">
        <v>56991</v>
      </c>
      <c r="B473" s="3" t="n">
        <v>180952</v>
      </c>
      <c r="C473" s="18" t="n">
        <v>684</v>
      </c>
      <c r="D473" s="18" t="n">
        <v>684</v>
      </c>
      <c r="E473" s="19" t="n">
        <v>344.311353627701</v>
      </c>
      <c r="F473" s="19" t="n">
        <v>370.852824685169</v>
      </c>
      <c r="G473" s="12" t="n">
        <f aca="false">E473/Combined_Summary!$B$23</f>
        <v>1377.2454145108</v>
      </c>
      <c r="H473" s="12" t="n">
        <f aca="false">F473/Combined_Summary!$B$23</f>
        <v>1483.41129874068</v>
      </c>
      <c r="I473" s="12" t="n">
        <f aca="false">H473-G473</f>
        <v>106.165884229873</v>
      </c>
      <c r="J473" s="13" t="n">
        <f aca="false">IF(G473=0,"",I473/G473)</f>
        <v>0.0770856690545472</v>
      </c>
    </row>
    <row r="474" customFormat="false" ht="15" hidden="false" customHeight="false" outlineLevel="0" collapsed="false">
      <c r="A474" s="3" t="n">
        <v>56992</v>
      </c>
      <c r="B474" s="3" t="n">
        <v>594070</v>
      </c>
      <c r="C474" s="18" t="n">
        <v>16</v>
      </c>
      <c r="D474" s="18" t="n">
        <v>16</v>
      </c>
      <c r="E474" s="19" t="n">
        <v>365.48924446106</v>
      </c>
      <c r="F474" s="19" t="n">
        <v>394.218566894531</v>
      </c>
      <c r="G474" s="12" t="n">
        <f aca="false">E474/Combined_Summary!$B$23</f>
        <v>1461.95697784424</v>
      </c>
      <c r="H474" s="12" t="n">
        <f aca="false">F474/Combined_Summary!$B$23</f>
        <v>1576.87426757812</v>
      </c>
      <c r="I474" s="12" t="n">
        <f aca="false">H474-G474</f>
        <v>114.917289733886</v>
      </c>
      <c r="J474" s="13" t="n">
        <f aca="false">IF(G474=0,"",I474/G474)</f>
        <v>0.0786051104618278</v>
      </c>
    </row>
    <row r="475" customFormat="false" ht="15" hidden="false" customHeight="false" outlineLevel="0" collapsed="false">
      <c r="A475" s="3" t="n">
        <v>56993</v>
      </c>
      <c r="B475" s="3" t="n">
        <v>180982</v>
      </c>
      <c r="C475" s="18" t="n">
        <v>575</v>
      </c>
      <c r="D475" s="18" t="n">
        <v>575</v>
      </c>
      <c r="E475" s="19" t="n">
        <v>348.06356003471</v>
      </c>
      <c r="F475" s="19" t="n">
        <v>371.838755864682</v>
      </c>
      <c r="G475" s="12" t="n">
        <f aca="false">E475/Combined_Summary!$B$23</f>
        <v>1392.25424013884</v>
      </c>
      <c r="H475" s="12" t="n">
        <f aca="false">F475/Combined_Summary!$B$23</f>
        <v>1487.35502345873</v>
      </c>
      <c r="I475" s="12" t="n">
        <f aca="false">H475-G475</f>
        <v>95.100783319888</v>
      </c>
      <c r="J475" s="13" t="n">
        <f aca="false">IF(G475=0,"",I475/G475)</f>
        <v>0.0683070523889402</v>
      </c>
    </row>
    <row r="476" customFormat="false" ht="15" hidden="false" customHeight="false" outlineLevel="0" collapsed="false">
      <c r="A476" s="3" t="n">
        <v>56994</v>
      </c>
      <c r="B476" s="3" t="n">
        <v>61483</v>
      </c>
      <c r="C476" s="18" t="n">
        <v>1176</v>
      </c>
      <c r="D476" s="18" t="n">
        <v>1176</v>
      </c>
      <c r="E476" s="19" t="n">
        <v>310.030325610621</v>
      </c>
      <c r="F476" s="19" t="n">
        <v>336.341409053932</v>
      </c>
      <c r="G476" s="12" t="n">
        <f aca="false">E476/Combined_Summary!$B$23</f>
        <v>1240.12130244249</v>
      </c>
      <c r="H476" s="12" t="n">
        <f aca="false">F476/Combined_Summary!$B$23</f>
        <v>1345.36563621573</v>
      </c>
      <c r="I476" s="12" t="n">
        <f aca="false">H476-G476</f>
        <v>105.244333773243</v>
      </c>
      <c r="J476" s="13" t="n">
        <f aca="false">IF(G476=0,"",I476/G476)</f>
        <v>0.0848661607263409</v>
      </c>
    </row>
    <row r="477" customFormat="false" ht="15" hidden="false" customHeight="false" outlineLevel="0" collapsed="false">
      <c r="A477" s="3" t="n">
        <v>57005</v>
      </c>
      <c r="B477" s="3" t="n">
        <v>180969</v>
      </c>
      <c r="C477" s="18" t="n">
        <v>698</v>
      </c>
      <c r="D477" s="18" t="n">
        <v>698</v>
      </c>
      <c r="E477" s="19" t="n">
        <v>340.91199997298</v>
      </c>
      <c r="F477" s="19" t="n">
        <v>363.685055161616</v>
      </c>
      <c r="G477" s="12" t="n">
        <f aca="false">E477/Combined_Summary!$B$23</f>
        <v>1363.64799989192</v>
      </c>
      <c r="H477" s="12" t="n">
        <f aca="false">F477/Combined_Summary!$B$23</f>
        <v>1454.74022064646</v>
      </c>
      <c r="I477" s="12" t="n">
        <f aca="false">H477-G477</f>
        <v>91.0922207545416</v>
      </c>
      <c r="J477" s="13" t="n">
        <f aca="false">IF(G477=0,"",I477/G477)</f>
        <v>0.0668003918619478</v>
      </c>
    </row>
    <row r="478" customFormat="false" ht="15" hidden="false" customHeight="false" outlineLevel="0" collapsed="false">
      <c r="A478" s="3" t="n">
        <v>57022</v>
      </c>
      <c r="B478" s="3" t="n">
        <v>181006</v>
      </c>
      <c r="C478" s="18" t="n">
        <v>802</v>
      </c>
      <c r="D478" s="18" t="n">
        <v>802</v>
      </c>
      <c r="E478" s="19" t="n">
        <v>344.970524110104</v>
      </c>
      <c r="F478" s="19" t="n">
        <v>364.26887945998</v>
      </c>
      <c r="G478" s="12" t="n">
        <f aca="false">E478/Combined_Summary!$B$23</f>
        <v>1379.88209644042</v>
      </c>
      <c r="H478" s="12" t="n">
        <f aca="false">F478/Combined_Summary!$B$23</f>
        <v>1457.07551783992</v>
      </c>
      <c r="I478" s="12" t="n">
        <f aca="false">H478-G478</f>
        <v>77.1934213995044</v>
      </c>
      <c r="J478" s="13" t="n">
        <f aca="false">IF(G478=0,"",I478/G478)</f>
        <v>0.0559420414241439</v>
      </c>
    </row>
    <row r="479" customFormat="false" ht="15" hidden="false" customHeight="false" outlineLevel="0" collapsed="false">
      <c r="A479" s="3" t="n">
        <v>57023</v>
      </c>
      <c r="B479" s="3" t="n">
        <v>181005</v>
      </c>
      <c r="C479" s="18" t="n">
        <v>835</v>
      </c>
      <c r="D479" s="18" t="n">
        <v>835</v>
      </c>
      <c r="E479" s="19" t="n">
        <v>330.579229297752</v>
      </c>
      <c r="F479" s="19" t="n">
        <v>355.948104036069</v>
      </c>
      <c r="G479" s="12" t="n">
        <f aca="false">E479/Combined_Summary!$B$23</f>
        <v>1322.31691719101</v>
      </c>
      <c r="H479" s="12" t="n">
        <f aca="false">F479/Combined_Summary!$B$23</f>
        <v>1423.79241614427</v>
      </c>
      <c r="I479" s="12" t="n">
        <f aca="false">H479-G479</f>
        <v>101.475498953266</v>
      </c>
      <c r="J479" s="13" t="n">
        <f aca="false">IF(G479=0,"",I479/G479)</f>
        <v>0.0767406796615971</v>
      </c>
    </row>
    <row r="480" customFormat="false" ht="15" hidden="false" customHeight="false" outlineLevel="0" collapsed="false">
      <c r="A480" s="3" t="n">
        <v>57024</v>
      </c>
      <c r="B480" s="3" t="n">
        <v>181025</v>
      </c>
      <c r="C480" s="18" t="n">
        <v>476</v>
      </c>
      <c r="D480" s="18" t="n">
        <v>476</v>
      </c>
      <c r="E480" s="19" t="n">
        <v>264.384030173807</v>
      </c>
      <c r="F480" s="19" t="n">
        <v>317.311119977166</v>
      </c>
      <c r="G480" s="12" t="n">
        <f aca="false">E480/Combined_Summary!$B$23</f>
        <v>1057.53612069523</v>
      </c>
      <c r="H480" s="12" t="n">
        <f aca="false">F480/Combined_Summary!$B$23</f>
        <v>1269.24447990866</v>
      </c>
      <c r="I480" s="12" t="n">
        <f aca="false">H480-G480</f>
        <v>211.708359213436</v>
      </c>
      <c r="J480" s="13" t="n">
        <f aca="false">IF(G480=0,"",I480/G480)</f>
        <v>0.200190192155573</v>
      </c>
    </row>
    <row r="481" customFormat="false" ht="15" hidden="false" customHeight="false" outlineLevel="0" collapsed="false">
      <c r="A481" s="3" t="n">
        <v>57025</v>
      </c>
      <c r="B481" s="3" t="n">
        <v>182391</v>
      </c>
      <c r="C481" s="18" t="n">
        <v>490</v>
      </c>
      <c r="D481" s="18" t="n">
        <v>490</v>
      </c>
      <c r="E481" s="19" t="n">
        <v>335.159398199587</v>
      </c>
      <c r="F481" s="19" t="n">
        <v>364.007625719966</v>
      </c>
      <c r="G481" s="12" t="n">
        <f aca="false">E481/Combined_Summary!$B$23</f>
        <v>1340.63759279835</v>
      </c>
      <c r="H481" s="12" t="n">
        <f aca="false">F481/Combined_Summary!$B$23</f>
        <v>1456.03050287986</v>
      </c>
      <c r="I481" s="12" t="n">
        <f aca="false">H481-G481</f>
        <v>115.392910081513</v>
      </c>
      <c r="J481" s="13" t="n">
        <f aca="false">IF(G481=0,"",I481/G481)</f>
        <v>0.0860731570570466</v>
      </c>
    </row>
    <row r="482" customFormat="false" ht="15" hidden="false" customHeight="false" outlineLevel="0" collapsed="false">
      <c r="A482" s="3" t="n">
        <v>57026</v>
      </c>
      <c r="B482" s="3" t="n">
        <v>182386</v>
      </c>
      <c r="C482" s="18" t="n">
        <v>427</v>
      </c>
      <c r="D482" s="18" t="n">
        <v>427</v>
      </c>
      <c r="E482" s="19" t="n">
        <v>335.845356925589</v>
      </c>
      <c r="F482" s="19" t="n">
        <v>361.523292880985</v>
      </c>
      <c r="G482" s="12" t="n">
        <f aca="false">E482/Combined_Summary!$B$23</f>
        <v>1343.38142770236</v>
      </c>
      <c r="H482" s="12" t="n">
        <f aca="false">F482/Combined_Summary!$B$23</f>
        <v>1446.09317152394</v>
      </c>
      <c r="I482" s="12" t="n">
        <f aca="false">H482-G482</f>
        <v>102.711743821583</v>
      </c>
      <c r="J482" s="13" t="n">
        <f aca="false">IF(G482=0,"",I482/G482)</f>
        <v>0.076457617846672</v>
      </c>
    </row>
    <row r="483" customFormat="false" ht="15" hidden="false" customHeight="false" outlineLevel="0" collapsed="false">
      <c r="A483" s="3" t="n">
        <v>57027</v>
      </c>
      <c r="B483" s="3" t="n">
        <v>187780</v>
      </c>
      <c r="C483" s="18" t="n">
        <v>1421</v>
      </c>
      <c r="D483" s="18" t="n">
        <v>1421</v>
      </c>
      <c r="E483" s="19" t="n">
        <v>349.408243543073</v>
      </c>
      <c r="F483" s="19" t="n">
        <v>380.866113672116</v>
      </c>
      <c r="G483" s="12" t="n">
        <f aca="false">E483/Combined_Summary!$B$23</f>
        <v>1397.63297417229</v>
      </c>
      <c r="H483" s="12" t="n">
        <f aca="false">F483/Combined_Summary!$B$23</f>
        <v>1523.46445468846</v>
      </c>
      <c r="I483" s="12" t="n">
        <f aca="false">H483-G483</f>
        <v>125.831480516169</v>
      </c>
      <c r="J483" s="13" t="n">
        <f aca="false">IF(G483=0,"",I483/G483)</f>
        <v>0.0900318487338847</v>
      </c>
    </row>
    <row r="484" customFormat="false" ht="15" hidden="false" customHeight="false" outlineLevel="0" collapsed="false">
      <c r="A484" s="3" t="n">
        <v>57028</v>
      </c>
      <c r="B484" s="3" t="n">
        <v>16089</v>
      </c>
      <c r="C484" s="18" t="n">
        <v>44</v>
      </c>
      <c r="D484" s="18" t="n">
        <v>44</v>
      </c>
      <c r="E484" s="19" t="n">
        <v>283.518850326538</v>
      </c>
      <c r="F484" s="19" t="n">
        <v>352.618389476429</v>
      </c>
      <c r="G484" s="12" t="n">
        <f aca="false">E484/Combined_Summary!$B$23</f>
        <v>1134.07540130615</v>
      </c>
      <c r="H484" s="12" t="n">
        <f aca="false">F484/Combined_Summary!$B$23</f>
        <v>1410.47355790572</v>
      </c>
      <c r="I484" s="12" t="n">
        <f aca="false">H484-G484</f>
        <v>276.398156599565</v>
      </c>
      <c r="J484" s="13" t="n">
        <f aca="false">IF(G484=0,"",I484/G484)</f>
        <v>0.243721146125935</v>
      </c>
    </row>
    <row r="485" customFormat="false" ht="15" hidden="false" customHeight="false" outlineLevel="0" collapsed="false">
      <c r="A485" s="3" t="n">
        <v>57038</v>
      </c>
      <c r="B485" s="3" t="n">
        <v>181004</v>
      </c>
      <c r="C485" s="18" t="n">
        <v>634</v>
      </c>
      <c r="D485" s="18" t="n">
        <v>634</v>
      </c>
      <c r="E485" s="19" t="n">
        <v>305.445050862309</v>
      </c>
      <c r="F485" s="19" t="n">
        <v>333.391219707694</v>
      </c>
      <c r="G485" s="12" t="n">
        <f aca="false">E485/Combined_Summary!$B$23</f>
        <v>1221.78020344924</v>
      </c>
      <c r="H485" s="12" t="n">
        <f aca="false">F485/Combined_Summary!$B$23</f>
        <v>1333.56487883077</v>
      </c>
      <c r="I485" s="12" t="n">
        <f aca="false">H485-G485</f>
        <v>111.784675381537</v>
      </c>
      <c r="J485" s="13" t="n">
        <f aca="false">IF(G485=0,"",I485/G485)</f>
        <v>0.0914932776500677</v>
      </c>
    </row>
    <row r="486" customFormat="false" ht="15" hidden="false" customHeight="false" outlineLevel="0" collapsed="false">
      <c r="A486" s="3" t="n">
        <v>57039</v>
      </c>
      <c r="B486" s="3" t="n">
        <v>181023</v>
      </c>
      <c r="C486" s="18" t="n">
        <v>698</v>
      </c>
      <c r="D486" s="18" t="n">
        <v>698</v>
      </c>
      <c r="E486" s="19" t="n">
        <v>319.615915019738</v>
      </c>
      <c r="F486" s="19" t="n">
        <v>356.722297515432</v>
      </c>
      <c r="G486" s="12" t="n">
        <f aca="false">E486/Combined_Summary!$B$23</f>
        <v>1278.46366007895</v>
      </c>
      <c r="H486" s="12" t="n">
        <f aca="false">F486/Combined_Summary!$B$23</f>
        <v>1426.88919006173</v>
      </c>
      <c r="I486" s="12" t="n">
        <f aca="false">H486-G486</f>
        <v>148.425529982777</v>
      </c>
      <c r="J486" s="13" t="n">
        <f aca="false">IF(G486=0,"",I486/G486)</f>
        <v>0.116096792280831</v>
      </c>
    </row>
    <row r="487" customFormat="false" ht="15" hidden="false" customHeight="false" outlineLevel="0" collapsed="false">
      <c r="A487" s="3" t="n">
        <v>57040</v>
      </c>
      <c r="B487" s="3" t="n">
        <v>181029</v>
      </c>
      <c r="C487" s="18" t="n">
        <v>943</v>
      </c>
      <c r="D487" s="18" t="n">
        <v>943</v>
      </c>
      <c r="E487" s="19" t="n">
        <v>338.367061979065</v>
      </c>
      <c r="F487" s="19" t="n">
        <v>368.877849720442</v>
      </c>
      <c r="G487" s="12" t="n">
        <f aca="false">E487/Combined_Summary!$B$23</f>
        <v>1353.46824791626</v>
      </c>
      <c r="H487" s="12" t="n">
        <f aca="false">F487/Combined_Summary!$B$23</f>
        <v>1475.51139888177</v>
      </c>
      <c r="I487" s="12" t="n">
        <f aca="false">H487-G487</f>
        <v>122.043150965508</v>
      </c>
      <c r="J487" s="13" t="n">
        <f aca="false">IF(G487=0,"",I487/G487)</f>
        <v>0.0901706790339558</v>
      </c>
    </row>
    <row r="488" customFormat="false" ht="15" hidden="false" customHeight="false" outlineLevel="0" collapsed="false">
      <c r="A488" s="3" t="n">
        <v>57041</v>
      </c>
      <c r="B488" s="3" t="n">
        <v>182417</v>
      </c>
      <c r="C488" s="18" t="n">
        <v>556</v>
      </c>
      <c r="D488" s="18" t="n">
        <v>556</v>
      </c>
      <c r="E488" s="19" t="n">
        <v>312.414921904639</v>
      </c>
      <c r="F488" s="19" t="n">
        <v>348.774606869375</v>
      </c>
      <c r="G488" s="12" t="n">
        <f aca="false">E488/Combined_Summary!$B$23</f>
        <v>1249.65968761856</v>
      </c>
      <c r="H488" s="12" t="n">
        <f aca="false">F488/Combined_Summary!$B$23</f>
        <v>1395.0984274775</v>
      </c>
      <c r="I488" s="12" t="n">
        <f aca="false">H488-G488</f>
        <v>145.438739858943</v>
      </c>
      <c r="J488" s="13" t="n">
        <f aca="false">IF(G488=0,"",I488/G488)</f>
        <v>0.116382677059945</v>
      </c>
    </row>
    <row r="489" customFormat="false" ht="15" hidden="false" customHeight="false" outlineLevel="0" collapsed="false">
      <c r="A489" s="3" t="n">
        <v>57042</v>
      </c>
      <c r="B489" s="3" t="n">
        <v>187790</v>
      </c>
      <c r="C489" s="18" t="n">
        <v>570</v>
      </c>
      <c r="D489" s="18" t="n">
        <v>570</v>
      </c>
      <c r="E489" s="19" t="n">
        <v>350.139606542755</v>
      </c>
      <c r="F489" s="19" t="n">
        <v>375.490197834216</v>
      </c>
      <c r="G489" s="12" t="n">
        <f aca="false">E489/Combined_Summary!$B$23</f>
        <v>1400.55842617102</v>
      </c>
      <c r="H489" s="12" t="n">
        <f aca="false">F489/Combined_Summary!$B$23</f>
        <v>1501.96079133686</v>
      </c>
      <c r="I489" s="12" t="n">
        <f aca="false">H489-G489</f>
        <v>101.402365165844</v>
      </c>
      <c r="J489" s="13" t="n">
        <f aca="false">IF(G489=0,"",I489/G489)</f>
        <v>0.0724013816710723</v>
      </c>
    </row>
    <row r="490" customFormat="false" ht="15" hidden="false" customHeight="false" outlineLevel="0" collapsed="false">
      <c r="A490" s="3" t="n">
        <v>57060</v>
      </c>
      <c r="B490" s="3" t="n">
        <v>181003</v>
      </c>
      <c r="C490" s="18" t="n">
        <v>907</v>
      </c>
      <c r="D490" s="18" t="n">
        <v>907</v>
      </c>
      <c r="E490" s="19" t="n">
        <v>349.209097936897</v>
      </c>
      <c r="F490" s="19" t="n">
        <v>381.222957034884</v>
      </c>
      <c r="G490" s="12" t="n">
        <f aca="false">E490/Combined_Summary!$B$23</f>
        <v>1396.83639174759</v>
      </c>
      <c r="H490" s="12" t="n">
        <f aca="false">F490/Combined_Summary!$B$23</f>
        <v>1524.89182813954</v>
      </c>
      <c r="I490" s="12" t="n">
        <f aca="false">H490-G490</f>
        <v>128.055436391946</v>
      </c>
      <c r="J490" s="13" t="n">
        <f aca="false">IF(G490=0,"",I490/G490)</f>
        <v>0.0916753294433682</v>
      </c>
    </row>
    <row r="491" customFormat="false" ht="15" hidden="false" customHeight="false" outlineLevel="0" collapsed="false">
      <c r="A491" s="3" t="n">
        <v>57061</v>
      </c>
      <c r="B491" s="3" t="n">
        <v>182476</v>
      </c>
      <c r="C491" s="18" t="n">
        <v>616</v>
      </c>
      <c r="D491" s="18" t="n">
        <v>616</v>
      </c>
      <c r="E491" s="19" t="n">
        <v>355.107234855751</v>
      </c>
      <c r="F491" s="19" t="n">
        <v>378.670037504915</v>
      </c>
      <c r="G491" s="12" t="n">
        <f aca="false">E491/Combined_Summary!$B$23</f>
        <v>1420.428939423</v>
      </c>
      <c r="H491" s="12" t="n">
        <f aca="false">F491/Combined_Summary!$B$23</f>
        <v>1514.68015001966</v>
      </c>
      <c r="I491" s="12" t="n">
        <f aca="false">H491-G491</f>
        <v>94.2512105966539</v>
      </c>
      <c r="J491" s="13" t="n">
        <f aca="false">IF(G491=0,"",I491/G491)</f>
        <v>0.0663540484009992</v>
      </c>
    </row>
    <row r="492" customFormat="false" ht="15" hidden="false" customHeight="false" outlineLevel="0" collapsed="false">
      <c r="A492" s="3" t="n">
        <v>57062</v>
      </c>
      <c r="B492" s="3" t="n">
        <v>182393</v>
      </c>
      <c r="C492" s="18" t="n">
        <v>994</v>
      </c>
      <c r="D492" s="18" t="n">
        <v>994</v>
      </c>
      <c r="E492" s="19" t="n">
        <v>333.240756504972</v>
      </c>
      <c r="F492" s="19" t="n">
        <v>368.296866073455</v>
      </c>
      <c r="G492" s="12" t="n">
        <f aca="false">E492/Combined_Summary!$B$23</f>
        <v>1332.96302601989</v>
      </c>
      <c r="H492" s="12" t="n">
        <f aca="false">F492/Combined_Summary!$B$23</f>
        <v>1473.18746429382</v>
      </c>
      <c r="I492" s="12" t="n">
        <f aca="false">H492-G492</f>
        <v>140.224438273931</v>
      </c>
      <c r="J492" s="13" t="n">
        <f aca="false">IF(G492=0,"",I492/G492)</f>
        <v>0.105197545270726</v>
      </c>
    </row>
    <row r="493" customFormat="false" ht="15" hidden="false" customHeight="false" outlineLevel="0" collapsed="false">
      <c r="A493" s="3" t="n">
        <v>57063</v>
      </c>
      <c r="B493" s="3" t="n">
        <v>187757</v>
      </c>
      <c r="C493" s="18" t="n">
        <v>762</v>
      </c>
      <c r="D493" s="18" t="n">
        <v>762</v>
      </c>
      <c r="E493" s="19" t="n">
        <v>336.921830925729</v>
      </c>
      <c r="F493" s="19" t="n">
        <v>363.84055748887</v>
      </c>
      <c r="G493" s="12" t="n">
        <f aca="false">E493/Combined_Summary!$B$23</f>
        <v>1347.68732370292</v>
      </c>
      <c r="H493" s="12" t="n">
        <f aca="false">F493/Combined_Summary!$B$23</f>
        <v>1455.36222995548</v>
      </c>
      <c r="I493" s="12" t="n">
        <f aca="false">H493-G493</f>
        <v>107.674906252563</v>
      </c>
      <c r="J493" s="13" t="n">
        <f aca="false">IF(G493=0,"",I493/G493)</f>
        <v>0.0798960592407404</v>
      </c>
    </row>
    <row r="494" customFormat="false" ht="15" hidden="false" customHeight="false" outlineLevel="0" collapsed="false">
      <c r="A494" s="3" t="n">
        <v>57075</v>
      </c>
      <c r="B494" s="3" t="n">
        <v>182394</v>
      </c>
      <c r="C494" s="18" t="n">
        <v>909</v>
      </c>
      <c r="D494" s="18" t="n">
        <v>909</v>
      </c>
      <c r="E494" s="19" t="n">
        <v>295.213115847412</v>
      </c>
      <c r="F494" s="19" t="n">
        <v>330.268794723863</v>
      </c>
      <c r="G494" s="12" t="n">
        <f aca="false">E494/Combined_Summary!$B$23</f>
        <v>1180.85246338965</v>
      </c>
      <c r="H494" s="12" t="n">
        <f aca="false">F494/Combined_Summary!$B$23</f>
        <v>1321.07517889545</v>
      </c>
      <c r="I494" s="12" t="n">
        <f aca="false">H494-G494</f>
        <v>140.222715505804</v>
      </c>
      <c r="J494" s="13" t="n">
        <f aca="false">IF(G494=0,"",I494/G494)</f>
        <v>0.118747023741893</v>
      </c>
    </row>
    <row r="495" customFormat="false" ht="15" hidden="false" customHeight="false" outlineLevel="0" collapsed="false">
      <c r="A495" s="3" t="n">
        <v>57076</v>
      </c>
      <c r="B495" s="3" t="n">
        <v>182413</v>
      </c>
      <c r="C495" s="18" t="n">
        <v>560</v>
      </c>
      <c r="D495" s="18" t="n">
        <v>560</v>
      </c>
      <c r="E495" s="19" t="n">
        <v>347.349043273926</v>
      </c>
      <c r="F495" s="19" t="n">
        <v>373.643267059326</v>
      </c>
      <c r="G495" s="12" t="n">
        <f aca="false">E495/Combined_Summary!$B$23</f>
        <v>1389.3961730957</v>
      </c>
      <c r="H495" s="12" t="n">
        <f aca="false">F495/Combined_Summary!$B$23</f>
        <v>1494.5730682373</v>
      </c>
      <c r="I495" s="12" t="n">
        <f aca="false">H495-G495</f>
        <v>105.176895141601</v>
      </c>
      <c r="J495" s="13" t="n">
        <f aca="false">IF(G495=0,"",I495/G495)</f>
        <v>0.0756997155874248</v>
      </c>
    </row>
    <row r="496" customFormat="false" ht="15" hidden="false" customHeight="false" outlineLevel="0" collapsed="false">
      <c r="A496" s="3" t="n">
        <v>57077</v>
      </c>
      <c r="B496" s="3" t="n">
        <v>187754</v>
      </c>
      <c r="C496" s="18" t="n">
        <v>432</v>
      </c>
      <c r="D496" s="18" t="n">
        <v>432</v>
      </c>
      <c r="E496" s="19" t="n">
        <v>348.534243071521</v>
      </c>
      <c r="F496" s="19" t="n">
        <v>377.431701518871</v>
      </c>
      <c r="G496" s="12" t="n">
        <f aca="false">E496/Combined_Summary!$B$23</f>
        <v>1394.13697228608</v>
      </c>
      <c r="H496" s="12" t="n">
        <f aca="false">F496/Combined_Summary!$B$23</f>
        <v>1509.72680607548</v>
      </c>
      <c r="I496" s="12" t="n">
        <f aca="false">H496-G496</f>
        <v>115.589833789402</v>
      </c>
      <c r="J496" s="13" t="n">
        <f aca="false">IF(G496=0,"",I496/G496)</f>
        <v>0.0829113896892493</v>
      </c>
    </row>
    <row r="497" customFormat="false" ht="15" hidden="false" customHeight="false" outlineLevel="0" collapsed="false">
      <c r="A497" s="3" t="n">
        <v>57078</v>
      </c>
      <c r="B497" s="3" t="n">
        <v>187755</v>
      </c>
      <c r="C497" s="18" t="n">
        <v>421</v>
      </c>
      <c r="D497" s="18" t="n">
        <v>421</v>
      </c>
      <c r="E497" s="19" t="n">
        <v>356.658654292236</v>
      </c>
      <c r="F497" s="19" t="n">
        <v>385.414130204081</v>
      </c>
      <c r="G497" s="12" t="n">
        <f aca="false">E497/Combined_Summary!$B$23</f>
        <v>1426.63461716894</v>
      </c>
      <c r="H497" s="12" t="n">
        <f aca="false">F497/Combined_Summary!$B$23</f>
        <v>1541.65652081632</v>
      </c>
      <c r="I497" s="12" t="n">
        <f aca="false">H497-G497</f>
        <v>115.02190364738</v>
      </c>
      <c r="J497" s="13" t="n">
        <f aca="false">IF(G497=0,"",I497/G497)</f>
        <v>0.080624640859783</v>
      </c>
    </row>
    <row r="498" customFormat="false" ht="15" hidden="false" customHeight="false" outlineLevel="0" collapsed="false">
      <c r="A498" s="3" t="n">
        <v>57079</v>
      </c>
      <c r="B498" s="3" t="n">
        <v>638464</v>
      </c>
      <c r="C498" s="18" t="n">
        <v>16</v>
      </c>
      <c r="D498" s="18" t="n">
        <v>16</v>
      </c>
      <c r="E498" s="19" t="n">
        <v>211.493308067322</v>
      </c>
      <c r="F498" s="19" t="n">
        <v>266.695615768433</v>
      </c>
      <c r="G498" s="12" t="n">
        <f aca="false">E498/Combined_Summary!$B$23</f>
        <v>845.973232269287</v>
      </c>
      <c r="H498" s="12" t="n">
        <f aca="false">F498/Combined_Summary!$B$23</f>
        <v>1066.78246307373</v>
      </c>
      <c r="I498" s="12" t="n">
        <f aca="false">H498-G498</f>
        <v>220.809230804443</v>
      </c>
      <c r="J498" s="13" t="n">
        <f aca="false">IF(G498=0,"",I498/G498)</f>
        <v>0.261012077429604</v>
      </c>
    </row>
    <row r="499" customFormat="false" ht="15" hidden="false" customHeight="false" outlineLevel="0" collapsed="false">
      <c r="A499" s="3" t="n">
        <v>57096</v>
      </c>
      <c r="B499" s="3" t="n">
        <v>182396</v>
      </c>
      <c r="C499" s="18" t="n">
        <v>622</v>
      </c>
      <c r="D499" s="18" t="n">
        <v>622</v>
      </c>
      <c r="E499" s="19" t="n">
        <v>378.934388544015</v>
      </c>
      <c r="F499" s="19" t="n">
        <v>405.281900902653</v>
      </c>
      <c r="G499" s="12" t="n">
        <f aca="false">E499/Combined_Summary!$B$23</f>
        <v>1515.73755417606</v>
      </c>
      <c r="H499" s="12" t="n">
        <f aca="false">F499/Combined_Summary!$B$23</f>
        <v>1621.12760361061</v>
      </c>
      <c r="I499" s="12" t="n">
        <f aca="false">H499-G499</f>
        <v>105.390049434551</v>
      </c>
      <c r="J499" s="13" t="n">
        <f aca="false">IF(G499=0,"",I499/G499)</f>
        <v>0.0695305392046185</v>
      </c>
    </row>
    <row r="500" customFormat="false" ht="15" hidden="false" customHeight="false" outlineLevel="0" collapsed="false">
      <c r="A500" s="3" t="n">
        <v>57097</v>
      </c>
      <c r="B500" s="3" t="n">
        <v>187751</v>
      </c>
      <c r="C500" s="18" t="n">
        <v>730</v>
      </c>
      <c r="D500" s="18" t="n">
        <v>730</v>
      </c>
      <c r="E500" s="19" t="n">
        <v>327.331864161034</v>
      </c>
      <c r="F500" s="19" t="n">
        <v>368.996218568985</v>
      </c>
      <c r="G500" s="12" t="n">
        <f aca="false">E500/Combined_Summary!$B$23</f>
        <v>1309.32745664414</v>
      </c>
      <c r="H500" s="12" t="n">
        <f aca="false">F500/Combined_Summary!$B$23</f>
        <v>1475.98487427594</v>
      </c>
      <c r="I500" s="12" t="n">
        <f aca="false">H500-G500</f>
        <v>166.657417631802</v>
      </c>
      <c r="J500" s="13" t="n">
        <f aca="false">IF(G500=0,"",I500/G500)</f>
        <v>0.127284749728653</v>
      </c>
    </row>
    <row r="501" customFormat="false" ht="15" hidden="false" customHeight="false" outlineLevel="0" collapsed="false">
      <c r="A501" s="3" t="n">
        <v>57098</v>
      </c>
      <c r="B501" s="3" t="n">
        <v>187769</v>
      </c>
      <c r="C501" s="18" t="n">
        <v>726</v>
      </c>
      <c r="D501" s="18" t="n">
        <v>726</v>
      </c>
      <c r="E501" s="19" t="n">
        <v>333.644039196088</v>
      </c>
      <c r="F501" s="19" t="n">
        <v>370.269239147176</v>
      </c>
      <c r="G501" s="12" t="n">
        <f aca="false">E501/Combined_Summary!$B$23</f>
        <v>1334.57615678435</v>
      </c>
      <c r="H501" s="12" t="n">
        <f aca="false">F501/Combined_Summary!$B$23</f>
        <v>1481.0769565887</v>
      </c>
      <c r="I501" s="12" t="n">
        <f aca="false">H501-G501</f>
        <v>146.500799804351</v>
      </c>
      <c r="J501" s="13" t="n">
        <f aca="false">IF(G501=0,"",I501/G501)</f>
        <v>0.109773278249885</v>
      </c>
    </row>
    <row r="502" customFormat="false" ht="15" hidden="false" customHeight="false" outlineLevel="0" collapsed="false">
      <c r="A502" s="3" t="n">
        <v>57099</v>
      </c>
      <c r="B502" s="3" t="n">
        <v>187788</v>
      </c>
      <c r="C502" s="18" t="n">
        <v>624</v>
      </c>
      <c r="D502" s="18" t="n">
        <v>624</v>
      </c>
      <c r="E502" s="19" t="n">
        <v>338.459518921681</v>
      </c>
      <c r="F502" s="19" t="n">
        <v>371.687749948257</v>
      </c>
      <c r="G502" s="12" t="n">
        <f aca="false">E502/Combined_Summary!$B$23</f>
        <v>1353.83807568672</v>
      </c>
      <c r="H502" s="12" t="n">
        <f aca="false">F502/Combined_Summary!$B$23</f>
        <v>1486.75099979303</v>
      </c>
      <c r="I502" s="12" t="n">
        <f aca="false">H502-G502</f>
        <v>132.912924106304</v>
      </c>
      <c r="J502" s="13" t="n">
        <f aca="false">IF(G502=0,"",I502/G502)</f>
        <v>0.098174904734368</v>
      </c>
    </row>
    <row r="503" customFormat="false" ht="15" hidden="false" customHeight="false" outlineLevel="0" collapsed="false">
      <c r="A503" s="3" t="n">
        <v>57118</v>
      </c>
      <c r="B503" s="3" t="n">
        <v>182398</v>
      </c>
      <c r="C503" s="18" t="n">
        <v>662</v>
      </c>
      <c r="D503" s="18" t="n">
        <v>662</v>
      </c>
      <c r="E503" s="19" t="n">
        <v>344.894220922649</v>
      </c>
      <c r="F503" s="19" t="n">
        <v>375.623699660748</v>
      </c>
      <c r="G503" s="12" t="n">
        <f aca="false">E503/Combined_Summary!$B$23</f>
        <v>1379.57688369059</v>
      </c>
      <c r="H503" s="12" t="n">
        <f aca="false">F503/Combined_Summary!$B$23</f>
        <v>1502.49479864299</v>
      </c>
      <c r="I503" s="12" t="n">
        <f aca="false">H503-G503</f>
        <v>122.917914952396</v>
      </c>
      <c r="J503" s="13" t="n">
        <f aca="false">IF(G503=0,"",I503/G503)</f>
        <v>0.0890982709304107</v>
      </c>
    </row>
    <row r="504" customFormat="false" ht="15" hidden="false" customHeight="false" outlineLevel="0" collapsed="false">
      <c r="A504" s="3" t="n">
        <v>57119</v>
      </c>
      <c r="B504" s="3" t="n">
        <v>462798</v>
      </c>
      <c r="C504" s="18" t="n">
        <v>343</v>
      </c>
      <c r="D504" s="18" t="n">
        <v>343</v>
      </c>
      <c r="E504" s="19" t="n">
        <v>350.492915306425</v>
      </c>
      <c r="F504" s="19" t="n">
        <v>385.558100575261</v>
      </c>
      <c r="G504" s="12" t="n">
        <f aca="false">E504/Combined_Summary!$B$23</f>
        <v>1401.9716612257</v>
      </c>
      <c r="H504" s="12" t="n">
        <f aca="false">F504/Combined_Summary!$B$23</f>
        <v>1542.23240230104</v>
      </c>
      <c r="I504" s="12" t="n">
        <f aca="false">H504-G504</f>
        <v>140.260741075344</v>
      </c>
      <c r="J504" s="13" t="n">
        <f aca="false">IF(G504=0,"",I504/G504)</f>
        <v>0.100045346817295</v>
      </c>
    </row>
    <row r="505" customFormat="false" ht="15" hidden="false" customHeight="false" outlineLevel="0" collapsed="false">
      <c r="A505" s="3" t="n">
        <v>57120</v>
      </c>
      <c r="B505" s="3" t="n">
        <v>187750</v>
      </c>
      <c r="C505" s="18" t="n">
        <v>947</v>
      </c>
      <c r="D505" s="18" t="n">
        <v>947</v>
      </c>
      <c r="E505" s="19" t="n">
        <v>330.055853657385</v>
      </c>
      <c r="F505" s="19" t="n">
        <v>369.430630862146</v>
      </c>
      <c r="G505" s="12" t="n">
        <f aca="false">E505/Combined_Summary!$B$23</f>
        <v>1320.22341462954</v>
      </c>
      <c r="H505" s="12" t="n">
        <f aca="false">F505/Combined_Summary!$B$23</f>
        <v>1477.72252344859</v>
      </c>
      <c r="I505" s="12" t="n">
        <f aca="false">H505-G505</f>
        <v>157.499108819045</v>
      </c>
      <c r="J505" s="13" t="n">
        <f aca="false">IF(G505=0,"",I505/G505)</f>
        <v>0.119297315192096</v>
      </c>
    </row>
    <row r="506" customFormat="false" ht="15" hidden="false" customHeight="false" outlineLevel="0" collapsed="false">
      <c r="A506" s="3" t="n">
        <v>57146</v>
      </c>
      <c r="B506" s="3" t="n">
        <v>182401</v>
      </c>
      <c r="C506" s="18" t="n">
        <v>626</v>
      </c>
      <c r="D506" s="18" t="n">
        <v>626</v>
      </c>
      <c r="E506" s="19" t="n">
        <v>342.052969892947</v>
      </c>
      <c r="F506" s="19" t="n">
        <v>379.16834190783</v>
      </c>
      <c r="G506" s="12" t="n">
        <f aca="false">E506/Combined_Summary!$B$23</f>
        <v>1368.21187957179</v>
      </c>
      <c r="H506" s="12" t="n">
        <f aca="false">F506/Combined_Summary!$B$23</f>
        <v>1516.67336763132</v>
      </c>
      <c r="I506" s="12" t="n">
        <f aca="false">H506-G506</f>
        <v>148.461488059535</v>
      </c>
      <c r="J506" s="13" t="n">
        <f aca="false">IF(G506=0,"",I506/G506)</f>
        <v>0.108507673611195</v>
      </c>
    </row>
    <row r="507" customFormat="false" ht="15" hidden="false" customHeight="false" outlineLevel="0" collapsed="false">
      <c r="A507" s="3" t="n">
        <v>57147</v>
      </c>
      <c r="B507" s="3" t="n">
        <v>182407</v>
      </c>
      <c r="C507" s="18" t="n">
        <v>486</v>
      </c>
      <c r="D507" s="18" t="n">
        <v>486</v>
      </c>
      <c r="E507" s="19" t="n">
        <v>333.861868061647</v>
      </c>
      <c r="F507" s="19" t="n">
        <v>369.365218472579</v>
      </c>
      <c r="G507" s="12" t="n">
        <f aca="false">E507/Combined_Summary!$B$23</f>
        <v>1335.44747224659</v>
      </c>
      <c r="H507" s="12" t="n">
        <f aca="false">F507/Combined_Summary!$B$23</f>
        <v>1477.46087389032</v>
      </c>
      <c r="I507" s="12" t="n">
        <f aca="false">H507-G507</f>
        <v>142.01340164373</v>
      </c>
      <c r="J507" s="13" t="n">
        <f aca="false">IF(G507=0,"",I507/G507)</f>
        <v>0.106341435807149</v>
      </c>
    </row>
    <row r="508" customFormat="false" ht="15" hidden="false" customHeight="false" outlineLevel="0" collapsed="false">
      <c r="A508" s="3" t="n">
        <v>57164</v>
      </c>
      <c r="B508" s="3" t="n">
        <v>182503</v>
      </c>
      <c r="C508" s="18" t="n">
        <v>2</v>
      </c>
      <c r="D508" s="18" t="n">
        <v>2</v>
      </c>
      <c r="E508" s="19" t="n">
        <v>330.628967285156</v>
      </c>
      <c r="F508" s="19" t="n">
        <v>364.863220214844</v>
      </c>
      <c r="G508" s="12" t="n">
        <f aca="false">E508/Combined_Summary!$B$23</f>
        <v>1322.51586914062</v>
      </c>
      <c r="H508" s="12" t="n">
        <f aca="false">F508/Combined_Summary!$B$23</f>
        <v>1459.45288085938</v>
      </c>
      <c r="I508" s="12" t="n">
        <f aca="false">H508-G508</f>
        <v>136.93701171875</v>
      </c>
      <c r="J508" s="13" t="n">
        <f aca="false">IF(G508=0,"",I508/G508)</f>
        <v>0.103542811783221</v>
      </c>
    </row>
    <row r="509" customFormat="false" ht="15" hidden="false" customHeight="false" outlineLevel="0" collapsed="false">
      <c r="A509" s="3" t="n">
        <v>57165</v>
      </c>
      <c r="B509" s="3" t="n">
        <v>182489</v>
      </c>
      <c r="C509" s="18" t="n">
        <v>1.46967570277047</v>
      </c>
      <c r="D509" s="18" t="n">
        <v>1.46967570277047</v>
      </c>
      <c r="E509" s="19" t="n">
        <v>239.805103890564</v>
      </c>
      <c r="F509" s="19" t="n">
        <v>334.236460111172</v>
      </c>
      <c r="G509" s="12" t="n">
        <f aca="false">E509/Combined_Summary!$B$23</f>
        <v>959.220415562256</v>
      </c>
      <c r="H509" s="12" t="n">
        <f aca="false">F509/Combined_Summary!$B$23</f>
        <v>1336.94584044469</v>
      </c>
      <c r="I509" s="12" t="n">
        <f aca="false">H509-G509</f>
        <v>377.725424882432</v>
      </c>
      <c r="J509" s="13" t="n">
        <f aca="false">IF(G509=0,"",I509/G509)</f>
        <v>0.393783763099981</v>
      </c>
    </row>
    <row r="510" customFormat="false" ht="15" hidden="false" customHeight="false" outlineLevel="0" collapsed="false">
      <c r="A510" s="3" t="n">
        <v>57166</v>
      </c>
      <c r="B510" s="3" t="n">
        <v>594462</v>
      </c>
      <c r="C510" s="18" t="n">
        <v>16</v>
      </c>
      <c r="D510" s="18" t="n">
        <v>16</v>
      </c>
      <c r="E510" s="19" t="n">
        <v>309.456651210785</v>
      </c>
      <c r="F510" s="19" t="n">
        <v>351.049579620361</v>
      </c>
      <c r="G510" s="12" t="n">
        <f aca="false">E510/Combined_Summary!$B$23</f>
        <v>1237.82660484314</v>
      </c>
      <c r="H510" s="12" t="n">
        <f aca="false">F510/Combined_Summary!$B$23</f>
        <v>1404.19831848145</v>
      </c>
      <c r="I510" s="12" t="n">
        <f aca="false">H510-G510</f>
        <v>166.371713638306</v>
      </c>
      <c r="J510" s="13" t="n">
        <f aca="false">IF(G510=0,"",I510/G510)</f>
        <v>0.13440631586634</v>
      </c>
    </row>
    <row r="511" customFormat="false" ht="15" hidden="false" customHeight="false" outlineLevel="0" collapsed="false">
      <c r="A511" s="3" t="n">
        <v>59675</v>
      </c>
      <c r="B511" s="3" t="n">
        <v>187598</v>
      </c>
      <c r="C511" s="18" t="n">
        <v>652</v>
      </c>
      <c r="D511" s="18" t="n">
        <v>652</v>
      </c>
      <c r="E511" s="19" t="n">
        <v>338.609848560731</v>
      </c>
      <c r="F511" s="19" t="n">
        <v>371.207394921707</v>
      </c>
      <c r="G511" s="12" t="n">
        <f aca="false">E511/Combined_Summary!$B$23</f>
        <v>1354.43939424292</v>
      </c>
      <c r="H511" s="12" t="n">
        <f aca="false">F511/Combined_Summary!$B$23</f>
        <v>1484.82957968683</v>
      </c>
      <c r="I511" s="12" t="n">
        <f aca="false">H511-G511</f>
        <v>130.390185443902</v>
      </c>
      <c r="J511" s="13" t="n">
        <f aca="false">IF(G511=0,"",I511/G511)</f>
        <v>0.0962687485302983</v>
      </c>
    </row>
    <row r="512" customFormat="false" ht="15" hidden="false" customHeight="false" outlineLevel="0" collapsed="false">
      <c r="A512" s="3" t="n">
        <v>59676</v>
      </c>
      <c r="B512" s="3" t="n">
        <v>187613</v>
      </c>
      <c r="C512" s="18" t="n">
        <v>682</v>
      </c>
      <c r="D512" s="18" t="n">
        <v>682</v>
      </c>
      <c r="E512" s="19" t="n">
        <v>351.852542250737</v>
      </c>
      <c r="F512" s="19" t="n">
        <v>387.078854759418</v>
      </c>
      <c r="G512" s="12" t="n">
        <f aca="false">E512/Combined_Summary!$B$23</f>
        <v>1407.41016900295</v>
      </c>
      <c r="H512" s="12" t="n">
        <f aca="false">F512/Combined_Summary!$B$23</f>
        <v>1548.31541903767</v>
      </c>
      <c r="I512" s="12" t="n">
        <f aca="false">H512-G512</f>
        <v>140.905250034724</v>
      </c>
      <c r="J512" s="13" t="n">
        <f aca="false">IF(G512=0,"",I512/G512)</f>
        <v>0.100116691734966</v>
      </c>
    </row>
    <row r="513" customFormat="false" ht="15" hidden="false" customHeight="false" outlineLevel="0" collapsed="false">
      <c r="A513" s="3" t="n">
        <v>59693</v>
      </c>
      <c r="B513" s="3" t="n">
        <v>182269</v>
      </c>
      <c r="C513" s="18" t="n">
        <v>390</v>
      </c>
      <c r="D513" s="18" t="n">
        <v>390</v>
      </c>
      <c r="E513" s="19" t="n">
        <v>306.632648722331</v>
      </c>
      <c r="F513" s="19" t="n">
        <v>346.673915217473</v>
      </c>
      <c r="G513" s="12" t="n">
        <f aca="false">E513/Combined_Summary!$B$23</f>
        <v>1226.53059488932</v>
      </c>
      <c r="H513" s="12" t="n">
        <f aca="false">F513/Combined_Summary!$B$23</f>
        <v>1386.69566086989</v>
      </c>
      <c r="I513" s="12" t="n">
        <f aca="false">H513-G513</f>
        <v>160.165065980569</v>
      </c>
      <c r="J513" s="13" t="n">
        <f aca="false">IF(G513=0,"",I513/G513)</f>
        <v>0.130583832680522</v>
      </c>
    </row>
    <row r="514" customFormat="false" ht="15" hidden="false" customHeight="false" outlineLevel="0" collapsed="false">
      <c r="A514" s="3" t="n">
        <v>59694</v>
      </c>
      <c r="B514" s="3" t="n">
        <v>187529</v>
      </c>
      <c r="C514" s="18" t="n">
        <v>346</v>
      </c>
      <c r="D514" s="18" t="n">
        <v>346</v>
      </c>
      <c r="E514" s="19" t="n">
        <v>331.118752198412</v>
      </c>
      <c r="F514" s="19" t="n">
        <v>364.764451638812</v>
      </c>
      <c r="G514" s="12" t="n">
        <f aca="false">E514/Combined_Summary!$B$23</f>
        <v>1324.47500879365</v>
      </c>
      <c r="H514" s="12" t="n">
        <f aca="false">F514/Combined_Summary!$B$23</f>
        <v>1459.05780655525</v>
      </c>
      <c r="I514" s="12" t="n">
        <f aca="false">H514-G514</f>
        <v>134.582797761597</v>
      </c>
      <c r="J514" s="13" t="n">
        <f aca="false">IF(G514=0,"",I514/G514)</f>
        <v>0.101612183595806</v>
      </c>
    </row>
    <row r="515" customFormat="false" ht="15" hidden="false" customHeight="false" outlineLevel="0" collapsed="false">
      <c r="A515" s="3" t="n">
        <v>59695</v>
      </c>
      <c r="B515" s="3" t="n">
        <v>808411</v>
      </c>
      <c r="C515" s="18" t="n">
        <v>273</v>
      </c>
      <c r="D515" s="18" t="n">
        <v>273</v>
      </c>
      <c r="E515" s="19" t="n">
        <v>342.701325916109</v>
      </c>
      <c r="F515" s="19" t="n">
        <v>377.288856981438</v>
      </c>
      <c r="G515" s="12" t="n">
        <f aca="false">E515/Combined_Summary!$B$23</f>
        <v>1370.80530366443</v>
      </c>
      <c r="H515" s="12" t="n">
        <f aca="false">F515/Combined_Summary!$B$23</f>
        <v>1509.15542792575</v>
      </c>
      <c r="I515" s="12" t="n">
        <f aca="false">H515-G515</f>
        <v>138.350124261317</v>
      </c>
      <c r="J515" s="13" t="n">
        <f aca="false">IF(G515=0,"",I515/G515)</f>
        <v>0.100926166459584</v>
      </c>
    </row>
    <row r="516" customFormat="false" ht="15" hidden="false" customHeight="false" outlineLevel="0" collapsed="false">
      <c r="A516" s="3" t="n">
        <v>59696</v>
      </c>
      <c r="B516" s="3" t="n">
        <v>187554</v>
      </c>
      <c r="C516" s="18" t="n">
        <v>769</v>
      </c>
      <c r="D516" s="18" t="n">
        <v>769</v>
      </c>
      <c r="E516" s="19" t="n">
        <v>323.159224566</v>
      </c>
      <c r="F516" s="19" t="n">
        <v>359.198185676406</v>
      </c>
      <c r="G516" s="12" t="n">
        <f aca="false">E516/Combined_Summary!$B$23</f>
        <v>1292.636898264</v>
      </c>
      <c r="H516" s="12" t="n">
        <f aca="false">F516/Combined_Summary!$B$23</f>
        <v>1436.79274270562</v>
      </c>
      <c r="I516" s="12" t="n">
        <f aca="false">H516-G516</f>
        <v>144.155844441626</v>
      </c>
      <c r="J516" s="13" t="n">
        <f aca="false">IF(G516=0,"",I516/G516)</f>
        <v>0.111520756242705</v>
      </c>
    </row>
    <row r="517" customFormat="false" ht="15" hidden="false" customHeight="false" outlineLevel="0" collapsed="false">
      <c r="A517" s="3" t="n">
        <v>59697</v>
      </c>
      <c r="B517" s="3" t="n">
        <v>187645</v>
      </c>
      <c r="C517" s="18" t="n">
        <v>809</v>
      </c>
      <c r="D517" s="18" t="n">
        <v>809</v>
      </c>
      <c r="E517" s="19" t="n">
        <v>328.742238939472</v>
      </c>
      <c r="F517" s="19" t="n">
        <v>363.41987300538</v>
      </c>
      <c r="G517" s="12" t="n">
        <f aca="false">E517/Combined_Summary!$B$23</f>
        <v>1314.96895575789</v>
      </c>
      <c r="H517" s="12" t="n">
        <f aca="false">F517/Combined_Summary!$B$23</f>
        <v>1453.67949202152</v>
      </c>
      <c r="I517" s="12" t="n">
        <f aca="false">H517-G517</f>
        <v>138.710536263635</v>
      </c>
      <c r="J517" s="13" t="n">
        <f aca="false">IF(G517=0,"",I517/G517)</f>
        <v>0.105485787825074</v>
      </c>
    </row>
    <row r="518" customFormat="false" ht="15" hidden="false" customHeight="false" outlineLevel="0" collapsed="false">
      <c r="A518" s="3" t="n">
        <v>59698</v>
      </c>
      <c r="B518" s="3" t="n">
        <v>187612</v>
      </c>
      <c r="C518" s="18" t="n">
        <v>636</v>
      </c>
      <c r="D518" s="18" t="n">
        <v>636</v>
      </c>
      <c r="E518" s="19" t="n">
        <v>353.760630493644</v>
      </c>
      <c r="F518" s="19" t="n">
        <v>375.591884529066</v>
      </c>
      <c r="G518" s="12" t="n">
        <f aca="false">E518/Combined_Summary!$B$23</f>
        <v>1415.04252197458</v>
      </c>
      <c r="H518" s="12" t="n">
        <f aca="false">F518/Combined_Summary!$B$23</f>
        <v>1502.36753811626</v>
      </c>
      <c r="I518" s="12" t="n">
        <f aca="false">H518-G518</f>
        <v>87.3250161416877</v>
      </c>
      <c r="J518" s="13" t="n">
        <f aca="false">IF(G518=0,"",I518/G518)</f>
        <v>0.0617119378291423</v>
      </c>
    </row>
    <row r="519" customFormat="false" ht="15" hidden="false" customHeight="false" outlineLevel="0" collapsed="false">
      <c r="A519" s="3" t="n">
        <v>59705</v>
      </c>
      <c r="B519" s="3" t="n">
        <v>182282</v>
      </c>
      <c r="C519" s="18" t="n">
        <v>676</v>
      </c>
      <c r="D519" s="18" t="n">
        <v>676</v>
      </c>
      <c r="E519" s="19" t="n">
        <v>320.225237124065</v>
      </c>
      <c r="F519" s="19" t="n">
        <v>355.556326962082</v>
      </c>
      <c r="G519" s="12" t="n">
        <f aca="false">E519/Combined_Summary!$B$23</f>
        <v>1280.90094849626</v>
      </c>
      <c r="H519" s="12" t="n">
        <f aca="false">F519/Combined_Summary!$B$23</f>
        <v>1422.22530784833</v>
      </c>
      <c r="I519" s="12" t="n">
        <f aca="false">H519-G519</f>
        <v>141.324359352066</v>
      </c>
      <c r="J519" s="13" t="n">
        <f aca="false">IF(G519=0,"",I519/G519)</f>
        <v>0.11033199680114</v>
      </c>
    </row>
    <row r="520" customFormat="false" ht="15" hidden="false" customHeight="false" outlineLevel="0" collapsed="false">
      <c r="A520" s="3" t="n">
        <v>59706</v>
      </c>
      <c r="B520" s="3" t="n">
        <v>182292</v>
      </c>
      <c r="C520" s="18" t="n">
        <v>622</v>
      </c>
      <c r="D520" s="18" t="n">
        <v>622</v>
      </c>
      <c r="E520" s="19" t="n">
        <v>325.600014591524</v>
      </c>
      <c r="F520" s="19" t="n">
        <v>354.379910705174</v>
      </c>
      <c r="G520" s="12" t="n">
        <f aca="false">E520/Combined_Summary!$B$23</f>
        <v>1302.40005836609</v>
      </c>
      <c r="H520" s="12" t="n">
        <f aca="false">F520/Combined_Summary!$B$23</f>
        <v>1417.5196428207</v>
      </c>
      <c r="I520" s="12" t="n">
        <f aca="false">H520-G520</f>
        <v>115.119584454601</v>
      </c>
      <c r="J520" s="13" t="n">
        <f aca="false">IF(G520=0,"",I520/G520)</f>
        <v>0.0883903403682448</v>
      </c>
    </row>
    <row r="521" customFormat="false" ht="15" hidden="false" customHeight="false" outlineLevel="0" collapsed="false">
      <c r="A521" s="3" t="n">
        <v>59707</v>
      </c>
      <c r="B521" s="3" t="n">
        <v>187500</v>
      </c>
      <c r="C521" s="18" t="n">
        <v>721</v>
      </c>
      <c r="D521" s="18" t="n">
        <v>721</v>
      </c>
      <c r="E521" s="19" t="n">
        <v>360.942515903637</v>
      </c>
      <c r="F521" s="19" t="n">
        <v>384.978402612609</v>
      </c>
      <c r="G521" s="12" t="n">
        <f aca="false">E521/Combined_Summary!$B$23</f>
        <v>1443.77006361455</v>
      </c>
      <c r="H521" s="12" t="n">
        <f aca="false">F521/Combined_Summary!$B$23</f>
        <v>1539.91361045044</v>
      </c>
      <c r="I521" s="12" t="n">
        <f aca="false">H521-G521</f>
        <v>96.14354683589</v>
      </c>
      <c r="J521" s="13" t="n">
        <f aca="false">IF(G521=0,"",I521/G521)</f>
        <v>0.0665920074524817</v>
      </c>
    </row>
    <row r="522" customFormat="false" ht="15" hidden="false" customHeight="false" outlineLevel="0" collapsed="false">
      <c r="A522" s="3" t="n">
        <v>59708</v>
      </c>
      <c r="B522" s="3" t="n">
        <v>182552</v>
      </c>
      <c r="C522" s="18" t="n">
        <v>391</v>
      </c>
      <c r="D522" s="18" t="n">
        <v>391</v>
      </c>
      <c r="E522" s="19" t="n">
        <v>337.463861958145</v>
      </c>
      <c r="F522" s="19" t="n">
        <v>370.316680088677</v>
      </c>
      <c r="G522" s="12" t="n">
        <f aca="false">E522/Combined_Summary!$B$23</f>
        <v>1349.85544783258</v>
      </c>
      <c r="H522" s="12" t="n">
        <f aca="false">F522/Combined_Summary!$B$23</f>
        <v>1481.26672035471</v>
      </c>
      <c r="I522" s="12" t="n">
        <f aca="false">H522-G522</f>
        <v>131.411272522128</v>
      </c>
      <c r="J522" s="13" t="n">
        <f aca="false">IF(G522=0,"",I522/G522)</f>
        <v>0.0973521073927814</v>
      </c>
    </row>
    <row r="523" customFormat="false" ht="15" hidden="false" customHeight="false" outlineLevel="0" collapsed="false">
      <c r="A523" s="3" t="n">
        <v>59709</v>
      </c>
      <c r="B523" s="3" t="n">
        <v>187610</v>
      </c>
      <c r="C523" s="18" t="n">
        <v>708</v>
      </c>
      <c r="D523" s="18" t="n">
        <v>708</v>
      </c>
      <c r="E523" s="19" t="n">
        <v>331.766983069943</v>
      </c>
      <c r="F523" s="19" t="n">
        <v>357.886428919216</v>
      </c>
      <c r="G523" s="12" t="n">
        <f aca="false">E523/Combined_Summary!$B$23</f>
        <v>1327.06793227977</v>
      </c>
      <c r="H523" s="12" t="n">
        <f aca="false">F523/Combined_Summary!$B$23</f>
        <v>1431.54571567686</v>
      </c>
      <c r="I523" s="12" t="n">
        <f aca="false">H523-G523</f>
        <v>104.477783397092</v>
      </c>
      <c r="J523" s="13" t="n">
        <f aca="false">IF(G523=0,"",I523/G523)</f>
        <v>0.0787282857612345</v>
      </c>
    </row>
    <row r="524" customFormat="false" ht="15" hidden="false" customHeight="false" outlineLevel="0" collapsed="false">
      <c r="A524" s="3" t="n">
        <v>59720</v>
      </c>
      <c r="B524" s="3" t="n">
        <v>182276</v>
      </c>
      <c r="C524" s="18" t="n">
        <v>517</v>
      </c>
      <c r="D524" s="18" t="n">
        <v>517</v>
      </c>
      <c r="E524" s="19" t="n">
        <v>322.393074345543</v>
      </c>
      <c r="F524" s="19" t="n">
        <v>356.638008161947</v>
      </c>
      <c r="G524" s="12" t="n">
        <f aca="false">E524/Combined_Summary!$B$23</f>
        <v>1289.57229738217</v>
      </c>
      <c r="H524" s="12" t="n">
        <f aca="false">F524/Combined_Summary!$B$23</f>
        <v>1426.55203264779</v>
      </c>
      <c r="I524" s="12" t="n">
        <f aca="false">H524-G524</f>
        <v>136.979735265617</v>
      </c>
      <c r="J524" s="13" t="n">
        <f aca="false">IF(G524=0,"",I524/G524)</f>
        <v>0.106221059140062</v>
      </c>
    </row>
    <row r="525" customFormat="false" ht="15" hidden="false" customHeight="false" outlineLevel="0" collapsed="false">
      <c r="A525" s="3" t="n">
        <v>59721</v>
      </c>
      <c r="B525" s="3" t="n">
        <v>187561</v>
      </c>
      <c r="C525" s="18" t="n">
        <v>487</v>
      </c>
      <c r="D525" s="18" t="n">
        <v>487</v>
      </c>
      <c r="E525" s="19" t="n">
        <v>376.75241439788</v>
      </c>
      <c r="F525" s="19" t="n">
        <v>404.333610988985</v>
      </c>
      <c r="G525" s="12" t="n">
        <f aca="false">E525/Combined_Summary!$B$23</f>
        <v>1507.00965759152</v>
      </c>
      <c r="H525" s="12" t="n">
        <f aca="false">F525/Combined_Summary!$B$23</f>
        <v>1617.33444395594</v>
      </c>
      <c r="I525" s="12" t="n">
        <f aca="false">H525-G525</f>
        <v>110.32478636442</v>
      </c>
      <c r="J525" s="13" t="n">
        <f aca="false">IF(G525=0,"",I525/G525)</f>
        <v>0.0732077500689277</v>
      </c>
    </row>
    <row r="526" customFormat="false" ht="15" hidden="false" customHeight="false" outlineLevel="0" collapsed="false">
      <c r="A526" s="3" t="n">
        <v>59722</v>
      </c>
      <c r="B526" s="3" t="n">
        <v>187575</v>
      </c>
      <c r="C526" s="18" t="n">
        <v>576</v>
      </c>
      <c r="D526" s="18" t="n">
        <v>576</v>
      </c>
      <c r="E526" s="19" t="n">
        <v>337.363159093592</v>
      </c>
      <c r="F526" s="19" t="n">
        <v>369.234898328781</v>
      </c>
      <c r="G526" s="12" t="n">
        <f aca="false">E526/Combined_Summary!$B$23</f>
        <v>1349.45263637437</v>
      </c>
      <c r="H526" s="12" t="n">
        <f aca="false">F526/Combined_Summary!$B$23</f>
        <v>1476.93959331512</v>
      </c>
      <c r="I526" s="12" t="n">
        <f aca="false">H526-G526</f>
        <v>127.486956940757</v>
      </c>
      <c r="J526" s="13" t="n">
        <f aca="false">IF(G526=0,"",I526/G526)</f>
        <v>0.0944730874610625</v>
      </c>
    </row>
    <row r="527" customFormat="false" ht="15" hidden="false" customHeight="false" outlineLevel="0" collapsed="false">
      <c r="A527" s="3" t="n">
        <v>59723</v>
      </c>
      <c r="B527" s="3" t="n">
        <v>187606</v>
      </c>
      <c r="C527" s="18" t="n">
        <v>1.26447044848464</v>
      </c>
      <c r="D527" s="18" t="n">
        <v>1.26447044848464</v>
      </c>
      <c r="E527" s="19" t="n">
        <v>318.621208877179</v>
      </c>
      <c r="F527" s="19" t="n">
        <v>360.145205288252</v>
      </c>
      <c r="G527" s="12" t="n">
        <f aca="false">E527/Combined_Summary!$B$23</f>
        <v>1274.48483550871</v>
      </c>
      <c r="H527" s="12" t="n">
        <f aca="false">F527/Combined_Summary!$B$23</f>
        <v>1440.58082115301</v>
      </c>
      <c r="I527" s="12" t="n">
        <f aca="false">H527-G527</f>
        <v>166.095985644294</v>
      </c>
      <c r="J527" s="13" t="n">
        <f aca="false">IF(G527=0,"",I527/G527)</f>
        <v>0.130324018785203</v>
      </c>
    </row>
    <row r="528" customFormat="false" ht="15" hidden="false" customHeight="false" outlineLevel="0" collapsed="false">
      <c r="A528" s="3" t="n">
        <v>59739</v>
      </c>
      <c r="B528" s="3" t="n">
        <v>187567</v>
      </c>
      <c r="C528" s="18" t="n">
        <v>632</v>
      </c>
      <c r="D528" s="18" t="n">
        <v>632</v>
      </c>
      <c r="E528" s="19" t="n">
        <v>296.265893477428</v>
      </c>
      <c r="F528" s="19" t="n">
        <v>333.849526067323</v>
      </c>
      <c r="G528" s="12" t="n">
        <f aca="false">E528/Combined_Summary!$B$23</f>
        <v>1185.06357390971</v>
      </c>
      <c r="H528" s="12" t="n">
        <f aca="false">F528/Combined_Summary!$B$23</f>
        <v>1335.39810426929</v>
      </c>
      <c r="I528" s="12" t="n">
        <f aca="false">H528-G528</f>
        <v>150.334530359582</v>
      </c>
      <c r="J528" s="13" t="n">
        <f aca="false">IF(G528=0,"",I528/G528)</f>
        <v>0.126857776805682</v>
      </c>
    </row>
    <row r="529" customFormat="false" ht="15" hidden="false" customHeight="false" outlineLevel="0" collapsed="false">
      <c r="A529" s="3" t="n">
        <v>59740</v>
      </c>
      <c r="B529" s="3" t="n">
        <v>187425</v>
      </c>
      <c r="C529" s="18" t="n">
        <v>516</v>
      </c>
      <c r="D529" s="18" t="n">
        <v>516</v>
      </c>
      <c r="E529" s="19" t="n">
        <v>319.791508134945</v>
      </c>
      <c r="F529" s="19" t="n">
        <v>358.128925900127</v>
      </c>
      <c r="G529" s="12" t="n">
        <f aca="false">E529/Combined_Summary!$B$23</f>
        <v>1279.16603253978</v>
      </c>
      <c r="H529" s="12" t="n">
        <f aca="false">F529/Combined_Summary!$B$23</f>
        <v>1432.51570360051</v>
      </c>
      <c r="I529" s="12" t="n">
        <f aca="false">H529-G529</f>
        <v>153.349671060725</v>
      </c>
      <c r="J529" s="13" t="n">
        <f aca="false">IF(G529=0,"",I529/G529)</f>
        <v>0.119882538435022</v>
      </c>
    </row>
    <row r="530" customFormat="false" ht="15" hidden="false" customHeight="false" outlineLevel="0" collapsed="false">
      <c r="A530" s="3" t="n">
        <v>59741</v>
      </c>
      <c r="B530" s="3" t="n">
        <v>182447</v>
      </c>
      <c r="C530" s="18" t="n">
        <v>1005</v>
      </c>
      <c r="D530" s="18" t="n">
        <v>1005</v>
      </c>
      <c r="E530" s="19" t="n">
        <v>306.023733205463</v>
      </c>
      <c r="F530" s="19" t="n">
        <v>342.664614207709</v>
      </c>
      <c r="G530" s="12" t="n">
        <f aca="false">E530/Combined_Summary!$B$23</f>
        <v>1224.09493282185</v>
      </c>
      <c r="H530" s="12" t="n">
        <f aca="false">F530/Combined_Summary!$B$23</f>
        <v>1370.65845683084</v>
      </c>
      <c r="I530" s="12" t="n">
        <f aca="false">H530-G530</f>
        <v>146.563524008984</v>
      </c>
      <c r="J530" s="13" t="n">
        <f aca="false">IF(G530=0,"",I530/G530)</f>
        <v>0.11973215481835</v>
      </c>
    </row>
    <row r="531" customFormat="false" ht="15" hidden="false" customHeight="false" outlineLevel="0" collapsed="false">
      <c r="A531" s="3" t="n">
        <v>59759</v>
      </c>
      <c r="B531" s="3" t="n">
        <v>638459</v>
      </c>
      <c r="C531" s="18" t="n">
        <v>16</v>
      </c>
      <c r="D531" s="18" t="n">
        <v>16</v>
      </c>
      <c r="E531" s="19" t="n">
        <v>312.090612411499</v>
      </c>
      <c r="F531" s="19" t="n">
        <v>333.107078552246</v>
      </c>
      <c r="G531" s="12" t="n">
        <f aca="false">E531/Combined_Summary!$B$23</f>
        <v>1248.362449646</v>
      </c>
      <c r="H531" s="12" t="n">
        <f aca="false">F531/Combined_Summary!$B$23</f>
        <v>1332.42831420898</v>
      </c>
      <c r="I531" s="12" t="n">
        <f aca="false">H531-G531</f>
        <v>84.0658645629883</v>
      </c>
      <c r="J531" s="13" t="n">
        <f aca="false">IF(G531=0,"",I531/G531)</f>
        <v>0.0673409109564512</v>
      </c>
    </row>
    <row r="532" customFormat="false" ht="15" hidden="false" customHeight="false" outlineLevel="0" collapsed="false">
      <c r="A532" s="3" t="n">
        <v>59776</v>
      </c>
      <c r="B532" s="3" t="n">
        <v>182298</v>
      </c>
      <c r="C532" s="18" t="n">
        <v>600</v>
      </c>
      <c r="D532" s="18" t="n">
        <v>600</v>
      </c>
      <c r="E532" s="19" t="n">
        <v>337.672619132996</v>
      </c>
      <c r="F532" s="19" t="n">
        <v>364.365288492839</v>
      </c>
      <c r="G532" s="12" t="n">
        <f aca="false">E532/Combined_Summary!$B$23</f>
        <v>1350.69047653198</v>
      </c>
      <c r="H532" s="12" t="n">
        <f aca="false">F532/Combined_Summary!$B$23</f>
        <v>1457.46115397135</v>
      </c>
      <c r="I532" s="12" t="n">
        <f aca="false">H532-G532</f>
        <v>106.770677439372</v>
      </c>
      <c r="J532" s="13" t="n">
        <f aca="false">IF(G532=0,"",I532/G532)</f>
        <v>0.0790489599908299</v>
      </c>
    </row>
    <row r="533" customFormat="false" ht="15" hidden="false" customHeight="false" outlineLevel="0" collapsed="false">
      <c r="A533" s="3" t="n">
        <v>59777</v>
      </c>
      <c r="B533" s="3" t="n">
        <v>182516</v>
      </c>
      <c r="C533" s="18" t="n">
        <v>470</v>
      </c>
      <c r="D533" s="18" t="n">
        <v>470</v>
      </c>
      <c r="E533" s="19" t="n">
        <v>323.036742133283</v>
      </c>
      <c r="F533" s="19" t="n">
        <v>357.213434519666</v>
      </c>
      <c r="G533" s="12" t="n">
        <f aca="false">E533/Combined_Summary!$B$23</f>
        <v>1292.14696853313</v>
      </c>
      <c r="H533" s="12" t="n">
        <f aca="false">F533/Combined_Summary!$B$23</f>
        <v>1428.85373807867</v>
      </c>
      <c r="I533" s="12" t="n">
        <f aca="false">H533-G533</f>
        <v>136.706769545535</v>
      </c>
      <c r="J533" s="13" t="n">
        <f aca="false">IF(G533=0,"",I533/G533)</f>
        <v>0.105798158316872</v>
      </c>
    </row>
    <row r="534" customFormat="false" ht="15" hidden="false" customHeight="false" outlineLevel="0" collapsed="false">
      <c r="A534" s="3" t="n">
        <v>59778</v>
      </c>
      <c r="B534" s="3" t="n">
        <v>187431</v>
      </c>
      <c r="C534" s="18" t="n">
        <v>628</v>
      </c>
      <c r="D534" s="18" t="n">
        <v>628</v>
      </c>
      <c r="E534" s="19" t="n">
        <v>347.387695640515</v>
      </c>
      <c r="F534" s="19" t="n">
        <v>375.61675018262</v>
      </c>
      <c r="G534" s="12" t="n">
        <f aca="false">E534/Combined_Summary!$B$23</f>
        <v>1389.55078256206</v>
      </c>
      <c r="H534" s="12" t="n">
        <f aca="false">F534/Combined_Summary!$B$23</f>
        <v>1502.46700073048</v>
      </c>
      <c r="I534" s="12" t="n">
        <f aca="false">H534-G534</f>
        <v>112.916218168417</v>
      </c>
      <c r="J534" s="13" t="n">
        <f aca="false">IF(G534=0,"",I534/G534)</f>
        <v>0.081260951082494</v>
      </c>
    </row>
    <row r="535" customFormat="false" ht="15" hidden="false" customHeight="false" outlineLevel="0" collapsed="false">
      <c r="A535" s="3" t="n">
        <v>59779</v>
      </c>
      <c r="B535" s="3" t="n">
        <v>638461</v>
      </c>
      <c r="C535" s="18" t="n">
        <v>16</v>
      </c>
      <c r="D535" s="18" t="n">
        <v>16</v>
      </c>
      <c r="E535" s="19" t="n">
        <v>211.266120910645</v>
      </c>
      <c r="F535" s="19" t="n">
        <v>275.019478797913</v>
      </c>
      <c r="G535" s="12" t="n">
        <f aca="false">E535/Combined_Summary!$B$23</f>
        <v>845.064483642578</v>
      </c>
      <c r="H535" s="12" t="n">
        <f aca="false">F535/Combined_Summary!$B$23</f>
        <v>1100.07791519165</v>
      </c>
      <c r="I535" s="12" t="n">
        <f aca="false">H535-G535</f>
        <v>255.013431549072</v>
      </c>
      <c r="J535" s="13" t="n">
        <f aca="false">IF(G535=0,"",I535/G535)</f>
        <v>0.301768014731679</v>
      </c>
    </row>
    <row r="536" customFormat="false" ht="15" hidden="false" customHeight="false" outlineLevel="0" collapsed="false">
      <c r="A536" s="3" t="n">
        <v>59780</v>
      </c>
      <c r="B536" s="3" t="n">
        <v>187676</v>
      </c>
      <c r="C536" s="18" t="n">
        <v>323</v>
      </c>
      <c r="D536" s="18" t="n">
        <v>323</v>
      </c>
      <c r="E536" s="19" t="n">
        <v>269.745665677192</v>
      </c>
      <c r="F536" s="19" t="n">
        <v>297.79629599273</v>
      </c>
      <c r="G536" s="12" t="n">
        <f aca="false">E536/Combined_Summary!$B$23</f>
        <v>1078.98266270877</v>
      </c>
      <c r="H536" s="12" t="n">
        <f aca="false">F536/Combined_Summary!$B$23</f>
        <v>1191.18518397092</v>
      </c>
      <c r="I536" s="12" t="n">
        <f aca="false">H536-G536</f>
        <v>112.202521262154</v>
      </c>
      <c r="J536" s="13" t="n">
        <f aca="false">IF(G536=0,"",I536/G536)</f>
        <v>0.103989179010969</v>
      </c>
    </row>
    <row r="537" customFormat="false" ht="15" hidden="false" customHeight="false" outlineLevel="0" collapsed="false">
      <c r="A537" s="3" t="n">
        <v>59803</v>
      </c>
      <c r="B537" s="3" t="n">
        <v>188662</v>
      </c>
      <c r="C537" s="18" t="n">
        <v>621</v>
      </c>
      <c r="D537" s="18" t="n">
        <v>621</v>
      </c>
      <c r="E537" s="19" t="n">
        <v>345.872570658268</v>
      </c>
      <c r="F537" s="19" t="n">
        <v>369.145322127043</v>
      </c>
      <c r="G537" s="12" t="n">
        <f aca="false">E537/Combined_Summary!$B$23</f>
        <v>1383.49028263307</v>
      </c>
      <c r="H537" s="12" t="n">
        <f aca="false">F537/Combined_Summary!$B$23</f>
        <v>1476.58128850817</v>
      </c>
      <c r="I537" s="12" t="n">
        <f aca="false">H537-G537</f>
        <v>93.0910058751008</v>
      </c>
      <c r="J537" s="13" t="n">
        <f aca="false">IF(G537=0,"",I537/G537)</f>
        <v>0.0672870688313974</v>
      </c>
    </row>
    <row r="538" customFormat="false" ht="15" hidden="false" customHeight="false" outlineLevel="0" collapsed="false">
      <c r="A538" s="3" t="n">
        <v>59804</v>
      </c>
      <c r="B538" s="3" t="n">
        <v>188689</v>
      </c>
      <c r="C538" s="18" t="n">
        <v>848</v>
      </c>
      <c r="D538" s="18" t="n">
        <v>848</v>
      </c>
      <c r="E538" s="19" t="n">
        <v>350.131991467386</v>
      </c>
      <c r="F538" s="19" t="n">
        <v>384.13864680956</v>
      </c>
      <c r="G538" s="12" t="n">
        <f aca="false">E538/Combined_Summary!$B$23</f>
        <v>1400.52796586954</v>
      </c>
      <c r="H538" s="12" t="n">
        <f aca="false">F538/Combined_Summary!$B$23</f>
        <v>1536.55458723824</v>
      </c>
      <c r="I538" s="12" t="n">
        <f aca="false">H538-G538</f>
        <v>136.026621368696</v>
      </c>
      <c r="J538" s="13" t="n">
        <f aca="false">IF(G538=0,"",I538/G538)</f>
        <v>0.0971252446817378</v>
      </c>
    </row>
    <row r="539" customFormat="false" ht="15" hidden="false" customHeight="false" outlineLevel="0" collapsed="false">
      <c r="A539" s="3" t="n">
        <v>59805</v>
      </c>
      <c r="B539" s="3" t="n">
        <v>187706</v>
      </c>
      <c r="C539" s="18" t="n">
        <v>702</v>
      </c>
      <c r="D539" s="18" t="n">
        <v>702</v>
      </c>
      <c r="E539" s="19" t="n">
        <v>356.21031363941</v>
      </c>
      <c r="F539" s="19" t="n">
        <v>384.721663733154</v>
      </c>
      <c r="G539" s="12" t="n">
        <f aca="false">E539/Combined_Summary!$B$23</f>
        <v>1424.84125455764</v>
      </c>
      <c r="H539" s="12" t="n">
        <f aca="false">F539/Combined_Summary!$B$23</f>
        <v>1538.88665493261</v>
      </c>
      <c r="I539" s="12" t="n">
        <f aca="false">H539-G539</f>
        <v>114.045400374975</v>
      </c>
      <c r="J539" s="13" t="n">
        <f aca="false">IF(G539=0,"",I539/G539)</f>
        <v>0.0800407764796098</v>
      </c>
    </row>
    <row r="540" customFormat="false" ht="15" hidden="false" customHeight="false" outlineLevel="0" collapsed="false">
      <c r="A540" s="3" t="n">
        <v>59823</v>
      </c>
      <c r="B540" s="3" t="n">
        <v>463003</v>
      </c>
      <c r="C540" s="18" t="n">
        <v>994</v>
      </c>
      <c r="D540" s="18" t="n">
        <v>994</v>
      </c>
      <c r="E540" s="19" t="n">
        <v>320.50787034217</v>
      </c>
      <c r="F540" s="19" t="n">
        <v>353.398665268896</v>
      </c>
      <c r="G540" s="12" t="n">
        <f aca="false">E540/Combined_Summary!$B$23</f>
        <v>1282.03148136868</v>
      </c>
      <c r="H540" s="12" t="n">
        <f aca="false">F540/Combined_Summary!$B$23</f>
        <v>1413.59466107558</v>
      </c>
      <c r="I540" s="12" t="n">
        <f aca="false">H540-G540</f>
        <v>131.563179706904</v>
      </c>
      <c r="J540" s="13" t="n">
        <f aca="false">IF(G540=0,"",I540/G540)</f>
        <v>0.102620865102664</v>
      </c>
    </row>
    <row r="541" customFormat="false" ht="15" hidden="false" customHeight="false" outlineLevel="0" collapsed="false">
      <c r="A541" s="3" t="n">
        <v>59824</v>
      </c>
      <c r="B541" s="3" t="n">
        <v>635074</v>
      </c>
      <c r="C541" s="18" t="n">
        <v>16</v>
      </c>
      <c r="D541" s="18" t="n">
        <v>16</v>
      </c>
      <c r="E541" s="19" t="n">
        <v>369.496458053589</v>
      </c>
      <c r="F541" s="19" t="n">
        <v>426.019470214844</v>
      </c>
      <c r="G541" s="12" t="n">
        <f aca="false">E541/Combined_Summary!$B$23</f>
        <v>1477.98583221436</v>
      </c>
      <c r="H541" s="12" t="n">
        <f aca="false">F541/Combined_Summary!$B$23</f>
        <v>1704.07788085938</v>
      </c>
      <c r="I541" s="12" t="n">
        <f aca="false">H541-G541</f>
        <v>226.09204864502</v>
      </c>
      <c r="J541" s="13" t="n">
        <f aca="false">IF(G541=0,"",I541/G541)</f>
        <v>0.152973082499906</v>
      </c>
    </row>
    <row r="542" customFormat="false" ht="15" hidden="false" customHeight="false" outlineLevel="0" collapsed="false">
      <c r="A542" s="3" t="n">
        <v>59825</v>
      </c>
      <c r="B542" s="3" t="n">
        <v>188685</v>
      </c>
      <c r="C542" s="18" t="n">
        <v>715</v>
      </c>
      <c r="D542" s="18" t="n">
        <v>715</v>
      </c>
      <c r="E542" s="19" t="n">
        <v>332.650366733791</v>
      </c>
      <c r="F542" s="19" t="n">
        <v>364.622321623689</v>
      </c>
      <c r="G542" s="12" t="n">
        <f aca="false">E542/Combined_Summary!$B$23</f>
        <v>1330.60146693516</v>
      </c>
      <c r="H542" s="12" t="n">
        <f aca="false">F542/Combined_Summary!$B$23</f>
        <v>1458.48928649476</v>
      </c>
      <c r="I542" s="12" t="n">
        <f aca="false">H542-G542</f>
        <v>127.887819559591</v>
      </c>
      <c r="J542" s="13" t="n">
        <f aca="false">IF(G542=0,"",I542/G542)</f>
        <v>0.0961127901460688</v>
      </c>
    </row>
    <row r="543" customFormat="false" ht="15" hidden="false" customHeight="false" outlineLevel="0" collapsed="false">
      <c r="A543" s="3" t="n">
        <v>59826</v>
      </c>
      <c r="B543" s="3" t="n">
        <v>188687</v>
      </c>
      <c r="C543" s="18" t="n">
        <v>544</v>
      </c>
      <c r="D543" s="18" t="n">
        <v>544</v>
      </c>
      <c r="E543" s="19" t="n">
        <v>354.608334316927</v>
      </c>
      <c r="F543" s="19" t="n">
        <v>387.102776751799</v>
      </c>
      <c r="G543" s="12" t="n">
        <f aca="false">E543/Combined_Summary!$B$23</f>
        <v>1418.43333726771</v>
      </c>
      <c r="H543" s="12" t="n">
        <f aca="false">F543/Combined_Summary!$B$23</f>
        <v>1548.41110700719</v>
      </c>
      <c r="I543" s="12" t="n">
        <f aca="false">H543-G543</f>
        <v>129.977769739487</v>
      </c>
      <c r="J543" s="13" t="n">
        <f aca="false">IF(G543=0,"",I543/G543)</f>
        <v>0.0916347397684969</v>
      </c>
    </row>
    <row r="544" customFormat="false" ht="15" hidden="false" customHeight="false" outlineLevel="0" collapsed="false">
      <c r="A544" s="3" t="n">
        <v>59827</v>
      </c>
      <c r="B544" s="3" t="n">
        <v>187677</v>
      </c>
      <c r="C544" s="18" t="n">
        <v>364</v>
      </c>
      <c r="D544" s="18" t="n">
        <v>364</v>
      </c>
      <c r="E544" s="19" t="n">
        <v>384.278619577597</v>
      </c>
      <c r="F544" s="19" t="n">
        <v>419.169256650485</v>
      </c>
      <c r="G544" s="12" t="n">
        <f aca="false">E544/Combined_Summary!$B$23</f>
        <v>1537.11447831039</v>
      </c>
      <c r="H544" s="12" t="n">
        <f aca="false">F544/Combined_Summary!$B$23</f>
        <v>1676.67702660194</v>
      </c>
      <c r="I544" s="12" t="n">
        <f aca="false">H544-G544</f>
        <v>139.562548291552</v>
      </c>
      <c r="J544" s="13" t="n">
        <f aca="false">IF(G544=0,"",I544/G544)</f>
        <v>0.0907951556379593</v>
      </c>
    </row>
    <row r="545" customFormat="false" ht="15" hidden="false" customHeight="false" outlineLevel="0" collapsed="false">
      <c r="A545" s="3" t="n">
        <v>59843</v>
      </c>
      <c r="B545" s="3" t="n">
        <v>635441</v>
      </c>
      <c r="C545" s="18" t="n">
        <v>16</v>
      </c>
      <c r="D545" s="18" t="n">
        <v>16</v>
      </c>
      <c r="E545" s="19" t="n">
        <v>364.331326961517</v>
      </c>
      <c r="F545" s="19" t="n">
        <v>390.778734683991</v>
      </c>
      <c r="G545" s="12" t="n">
        <f aca="false">E545/Combined_Summary!$B$23</f>
        <v>1457.32530784607</v>
      </c>
      <c r="H545" s="12" t="n">
        <f aca="false">F545/Combined_Summary!$B$23</f>
        <v>1563.11493873596</v>
      </c>
      <c r="I545" s="12" t="n">
        <f aca="false">H545-G545</f>
        <v>105.789630889893</v>
      </c>
      <c r="J545" s="13" t="n">
        <f aca="false">IF(G545=0,"",I545/G545)</f>
        <v>0.0725916377903642</v>
      </c>
    </row>
    <row r="546" customFormat="false" ht="15" hidden="false" customHeight="false" outlineLevel="0" collapsed="false">
      <c r="A546" s="3" t="n">
        <v>59844</v>
      </c>
      <c r="B546" s="3" t="n">
        <v>180961</v>
      </c>
      <c r="C546" s="18" t="n">
        <v>568</v>
      </c>
      <c r="D546" s="18" t="n">
        <v>568</v>
      </c>
      <c r="E546" s="19" t="n">
        <v>355.041228126472</v>
      </c>
      <c r="F546" s="19" t="n">
        <v>376.590806061113</v>
      </c>
      <c r="G546" s="12" t="n">
        <f aca="false">E546/Combined_Summary!$B$23</f>
        <v>1420.16491250589</v>
      </c>
      <c r="H546" s="12" t="n">
        <f aca="false">F546/Combined_Summary!$B$23</f>
        <v>1506.36322424445</v>
      </c>
      <c r="I546" s="12" t="n">
        <f aca="false">H546-G546</f>
        <v>86.1983117385648</v>
      </c>
      <c r="J546" s="13" t="n">
        <f aca="false">IF(G546=0,"",I546/G546)</f>
        <v>0.0606959874726573</v>
      </c>
    </row>
    <row r="547" customFormat="false" ht="15" hidden="false" customHeight="false" outlineLevel="0" collapsed="false">
      <c r="A547" s="3" t="n">
        <v>59845</v>
      </c>
      <c r="B547" s="3" t="n">
        <v>188674</v>
      </c>
      <c r="C547" s="18" t="n">
        <v>465</v>
      </c>
      <c r="D547" s="18" t="n">
        <v>465</v>
      </c>
      <c r="E547" s="19" t="n">
        <v>303.231954759167</v>
      </c>
      <c r="F547" s="19" t="n">
        <v>342.244538912209</v>
      </c>
      <c r="G547" s="12" t="n">
        <f aca="false">E547/Combined_Summary!$B$23</f>
        <v>1212.92781903667</v>
      </c>
      <c r="H547" s="12" t="n">
        <f aca="false">F547/Combined_Summary!$B$23</f>
        <v>1368.97815564884</v>
      </c>
      <c r="I547" s="12" t="n">
        <f aca="false">H547-G547</f>
        <v>156.050336612168</v>
      </c>
      <c r="J547" s="13" t="n">
        <f aca="false">IF(G547=0,"",I547/G547)</f>
        <v>0.128655913536641</v>
      </c>
    </row>
    <row r="548" customFormat="false" ht="15" hidden="false" customHeight="false" outlineLevel="0" collapsed="false">
      <c r="A548" s="3" t="n">
        <v>59846</v>
      </c>
      <c r="B548" s="3" t="n">
        <v>638059</v>
      </c>
      <c r="C548" s="18" t="n">
        <v>16</v>
      </c>
      <c r="D548" s="18" t="n">
        <v>16</v>
      </c>
      <c r="E548" s="19" t="n">
        <v>338.25138759613</v>
      </c>
      <c r="F548" s="19" t="n">
        <v>381.647403717041</v>
      </c>
      <c r="G548" s="12" t="n">
        <f aca="false">E548/Combined_Summary!$B$23</f>
        <v>1353.00555038452</v>
      </c>
      <c r="H548" s="12" t="n">
        <f aca="false">F548/Combined_Summary!$B$23</f>
        <v>1526.58961486816</v>
      </c>
      <c r="I548" s="12" t="n">
        <f aca="false">H548-G548</f>
        <v>173.584064483642</v>
      </c>
      <c r="J548" s="13" t="n">
        <f aca="false">IF(G548=0,"",I548/G548)</f>
        <v>0.128295160677138</v>
      </c>
    </row>
    <row r="549" customFormat="false" ht="15" hidden="false" customHeight="false" outlineLevel="0" collapsed="false">
      <c r="A549" s="3" t="n">
        <v>59862</v>
      </c>
      <c r="B549" s="3" t="n">
        <v>180954</v>
      </c>
      <c r="C549" s="18" t="n">
        <v>757</v>
      </c>
      <c r="D549" s="18" t="n">
        <v>757</v>
      </c>
      <c r="E549" s="19" t="n">
        <v>334.322067381684</v>
      </c>
      <c r="F549" s="19" t="n">
        <v>360.731735713258</v>
      </c>
      <c r="G549" s="12" t="n">
        <f aca="false">E549/Combined_Summary!$B$23</f>
        <v>1337.28826952674</v>
      </c>
      <c r="H549" s="12" t="n">
        <f aca="false">F549/Combined_Summary!$B$23</f>
        <v>1442.92694285303</v>
      </c>
      <c r="I549" s="12" t="n">
        <f aca="false">H549-G549</f>
        <v>105.638673326298</v>
      </c>
      <c r="J549" s="13" t="n">
        <f aca="false">IF(G549=0,"",I549/G549)</f>
        <v>0.0789946907735036</v>
      </c>
    </row>
    <row r="550" customFormat="false" ht="15" hidden="false" customHeight="false" outlineLevel="0" collapsed="false">
      <c r="A550" s="3" t="n">
        <v>59863</v>
      </c>
      <c r="B550" s="3" t="n">
        <v>180975</v>
      </c>
      <c r="C550" s="18" t="n">
        <v>875</v>
      </c>
      <c r="D550" s="18" t="n">
        <v>875</v>
      </c>
      <c r="E550" s="19" t="n">
        <v>356.503232639858</v>
      </c>
      <c r="F550" s="19" t="n">
        <v>382.199456351144</v>
      </c>
      <c r="G550" s="12" t="n">
        <f aca="false">E550/Combined_Summary!$B$23</f>
        <v>1426.01293055943</v>
      </c>
      <c r="H550" s="12" t="n">
        <f aca="false">F550/Combined_Summary!$B$23</f>
        <v>1528.79782540458</v>
      </c>
      <c r="I550" s="12" t="n">
        <f aca="false">H550-G550</f>
        <v>102.784894845145</v>
      </c>
      <c r="J550" s="13" t="n">
        <f aca="false">IF(G550=0,"",I550/G550)</f>
        <v>0.0720785153082885</v>
      </c>
    </row>
    <row r="551" customFormat="false" ht="15" hidden="false" customHeight="false" outlineLevel="0" collapsed="false">
      <c r="A551" s="3" t="n">
        <v>59864</v>
      </c>
      <c r="B551" s="3" t="n">
        <v>638062</v>
      </c>
      <c r="C551" s="18" t="n">
        <v>16</v>
      </c>
      <c r="D551" s="18" t="n">
        <v>16</v>
      </c>
      <c r="E551" s="19" t="n">
        <v>351.75537109375</v>
      </c>
      <c r="F551" s="19" t="n">
        <v>373.947187423706</v>
      </c>
      <c r="G551" s="12" t="n">
        <f aca="false">E551/Combined_Summary!$B$23</f>
        <v>1407.021484375</v>
      </c>
      <c r="H551" s="12" t="n">
        <f aca="false">F551/Combined_Summary!$B$23</f>
        <v>1495.78874969482</v>
      </c>
      <c r="I551" s="12" t="n">
        <f aca="false">H551-G551</f>
        <v>88.7672653198245</v>
      </c>
      <c r="J551" s="13" t="n">
        <f aca="false">IF(G551=0,"",I551/G551)</f>
        <v>0.06308877746757</v>
      </c>
    </row>
    <row r="552" customFormat="false" ht="15" hidden="false" customHeight="false" outlineLevel="0" collapsed="false">
      <c r="A552" s="3" t="n">
        <v>59865</v>
      </c>
      <c r="B552" s="3" t="n">
        <v>187684</v>
      </c>
      <c r="C552" s="18" t="n">
        <v>446</v>
      </c>
      <c r="D552" s="18" t="n">
        <v>446</v>
      </c>
      <c r="E552" s="19" t="n">
        <v>355.338100929431</v>
      </c>
      <c r="F552" s="19" t="n">
        <v>381.643383043229</v>
      </c>
      <c r="G552" s="12" t="n">
        <f aca="false">E552/Combined_Summary!$B$23</f>
        <v>1421.35240371773</v>
      </c>
      <c r="H552" s="12" t="n">
        <f aca="false">F552/Combined_Summary!$B$23</f>
        <v>1526.57353217292</v>
      </c>
      <c r="I552" s="12" t="n">
        <f aca="false">H552-G552</f>
        <v>105.221128455192</v>
      </c>
      <c r="J552" s="13" t="n">
        <f aca="false">IF(G552=0,"",I552/G552)</f>
        <v>0.0740288813526983</v>
      </c>
    </row>
    <row r="553" customFormat="false" ht="15" hidden="false" customHeight="false" outlineLevel="0" collapsed="false">
      <c r="A553" s="3" t="n">
        <v>59866</v>
      </c>
      <c r="B553" s="3" t="n">
        <v>638058</v>
      </c>
      <c r="C553" s="18" t="n">
        <v>16</v>
      </c>
      <c r="D553" s="18" t="n">
        <v>16</v>
      </c>
      <c r="E553" s="19" t="n">
        <v>298.333826065064</v>
      </c>
      <c r="F553" s="19" t="n">
        <v>323.512269973755</v>
      </c>
      <c r="G553" s="12" t="n">
        <f aca="false">E553/Combined_Summary!$B$23</f>
        <v>1193.33530426025</v>
      </c>
      <c r="H553" s="12" t="n">
        <f aca="false">F553/Combined_Summary!$B$23</f>
        <v>1294.04907989502</v>
      </c>
      <c r="I553" s="12" t="n">
        <f aca="false">H553-G553</f>
        <v>100.713775634766</v>
      </c>
      <c r="J553" s="13" t="n">
        <f aca="false">IF(G553=0,"",I553/G553)</f>
        <v>0.0843968792972214</v>
      </c>
    </row>
    <row r="554" customFormat="false" ht="15" hidden="false" customHeight="false" outlineLevel="0" collapsed="false">
      <c r="A554" s="3" t="n">
        <v>59883</v>
      </c>
      <c r="B554" s="3" t="n">
        <v>180980</v>
      </c>
      <c r="C554" s="18" t="n">
        <v>493</v>
      </c>
      <c r="D554" s="18" t="n">
        <v>493</v>
      </c>
      <c r="E554" s="19" t="n">
        <v>362.887715415104</v>
      </c>
      <c r="F554" s="19" t="n">
        <v>393.51445555155</v>
      </c>
      <c r="G554" s="12" t="n">
        <f aca="false">E554/Combined_Summary!$B$23</f>
        <v>1451.55086166041</v>
      </c>
      <c r="H554" s="12" t="n">
        <f aca="false">F554/Combined_Summary!$B$23</f>
        <v>1574.0578222062</v>
      </c>
      <c r="I554" s="12" t="n">
        <f aca="false">H554-G554</f>
        <v>122.506960545785</v>
      </c>
      <c r="J554" s="13" t="n">
        <f aca="false">IF(G554=0,"",I554/G554)</f>
        <v>0.0843972910502432</v>
      </c>
    </row>
    <row r="555" customFormat="false" ht="15" hidden="false" customHeight="false" outlineLevel="0" collapsed="false">
      <c r="A555" s="3" t="n">
        <v>59884</v>
      </c>
      <c r="B555" s="3" t="n">
        <v>187685</v>
      </c>
      <c r="C555" s="18" t="n">
        <v>780</v>
      </c>
      <c r="D555" s="18" t="n">
        <v>780</v>
      </c>
      <c r="E555" s="19" t="n">
        <v>335.801823601356</v>
      </c>
      <c r="F555" s="19" t="n">
        <v>371.455105395195</v>
      </c>
      <c r="G555" s="12" t="n">
        <f aca="false">E555/Combined_Summary!$B$23</f>
        <v>1343.20729440542</v>
      </c>
      <c r="H555" s="12" t="n">
        <f aca="false">F555/Combined_Summary!$B$23</f>
        <v>1485.82042158078</v>
      </c>
      <c r="I555" s="12" t="n">
        <f aca="false">H555-G555</f>
        <v>142.613127175355</v>
      </c>
      <c r="J555" s="13" t="n">
        <f aca="false">IF(G555=0,"",I555/G555)</f>
        <v>0.106173580034408</v>
      </c>
    </row>
    <row r="556" customFormat="false" ht="15" hidden="false" customHeight="false" outlineLevel="0" collapsed="false">
      <c r="A556" s="3" t="n">
        <v>59900</v>
      </c>
      <c r="B556" s="3" t="n">
        <v>180984</v>
      </c>
      <c r="C556" s="18" t="n">
        <v>621</v>
      </c>
      <c r="D556" s="18" t="n">
        <v>621</v>
      </c>
      <c r="E556" s="19" t="n">
        <v>314.375776902105</v>
      </c>
      <c r="F556" s="19" t="n">
        <v>340.847272507427</v>
      </c>
      <c r="G556" s="12" t="n">
        <f aca="false">E556/Combined_Summary!$B$23</f>
        <v>1257.50310760842</v>
      </c>
      <c r="H556" s="12" t="n">
        <f aca="false">F556/Combined_Summary!$B$23</f>
        <v>1363.38909002971</v>
      </c>
      <c r="I556" s="12" t="n">
        <f aca="false">H556-G556</f>
        <v>105.885982421286</v>
      </c>
      <c r="J556" s="13" t="n">
        <f aca="false">IF(G556=0,"",I556/G556)</f>
        <v>0.0842033564614124</v>
      </c>
    </row>
    <row r="557" customFormat="false" ht="15" hidden="false" customHeight="false" outlineLevel="0" collapsed="false">
      <c r="A557" s="3" t="n">
        <v>59901</v>
      </c>
      <c r="B557" s="3" t="n">
        <v>180985</v>
      </c>
      <c r="C557" s="18" t="n">
        <v>1040</v>
      </c>
      <c r="D557" s="18" t="n">
        <v>1040</v>
      </c>
      <c r="E557" s="19" t="n">
        <v>354.053885848706</v>
      </c>
      <c r="F557" s="19" t="n">
        <v>379.099687532278</v>
      </c>
      <c r="G557" s="12" t="n">
        <f aca="false">E557/Combined_Summary!$B$23</f>
        <v>1416.21554339482</v>
      </c>
      <c r="H557" s="12" t="n">
        <f aca="false">F557/Combined_Summary!$B$23</f>
        <v>1516.39875012911</v>
      </c>
      <c r="I557" s="12" t="n">
        <f aca="false">H557-G557</f>
        <v>100.18320673429</v>
      </c>
      <c r="J557" s="13" t="n">
        <f aca="false">IF(G557=0,"",I557/G557)</f>
        <v>0.0707400841641241</v>
      </c>
    </row>
    <row r="558" customFormat="false" ht="15" hidden="false" customHeight="false" outlineLevel="0" collapsed="false">
      <c r="A558" s="3" t="n">
        <v>59902</v>
      </c>
      <c r="B558" s="3" t="n">
        <v>635071</v>
      </c>
      <c r="C558" s="18" t="n">
        <v>16</v>
      </c>
      <c r="D558" s="18" t="n">
        <v>16</v>
      </c>
      <c r="E558" s="19" t="n">
        <v>327.289733886719</v>
      </c>
      <c r="F558" s="19" t="n">
        <v>349.880540847778</v>
      </c>
      <c r="G558" s="12" t="n">
        <f aca="false">E558/Combined_Summary!$B$23</f>
        <v>1309.15893554688</v>
      </c>
      <c r="H558" s="12" t="n">
        <f aca="false">F558/Combined_Summary!$B$23</f>
        <v>1399.52216339111</v>
      </c>
      <c r="I558" s="12" t="n">
        <f aca="false">H558-G558</f>
        <v>90.3632278442381</v>
      </c>
      <c r="J558" s="13" t="n">
        <f aca="false">IF(G558=0,"",I558/G558)</f>
        <v>0.0690238789123726</v>
      </c>
    </row>
    <row r="559" customFormat="false" ht="15" hidden="false" customHeight="false" outlineLevel="0" collapsed="false">
      <c r="A559" s="3" t="n">
        <v>59916</v>
      </c>
      <c r="B559" s="3" t="n">
        <v>181020</v>
      </c>
      <c r="C559" s="18" t="n">
        <v>534</v>
      </c>
      <c r="D559" s="18" t="n">
        <v>534</v>
      </c>
      <c r="E559" s="19" t="n">
        <v>335.43477892072</v>
      </c>
      <c r="F559" s="19" t="n">
        <v>356.702081515994</v>
      </c>
      <c r="G559" s="12" t="n">
        <f aca="false">E559/Combined_Summary!$B$23</f>
        <v>1341.73911568288</v>
      </c>
      <c r="H559" s="12" t="n">
        <f aca="false">F559/Combined_Summary!$B$23</f>
        <v>1426.80832606398</v>
      </c>
      <c r="I559" s="12" t="n">
        <f aca="false">H559-G559</f>
        <v>85.0692103810973</v>
      </c>
      <c r="J559" s="13" t="n">
        <f aca="false">IF(G559=0,"",I559/G559)</f>
        <v>0.0634021989720417</v>
      </c>
    </row>
    <row r="560" customFormat="false" ht="15" hidden="false" customHeight="false" outlineLevel="0" collapsed="false">
      <c r="A560" s="3" t="n">
        <v>59917</v>
      </c>
      <c r="B560" s="3" t="n">
        <v>181019</v>
      </c>
      <c r="C560" s="18" t="n">
        <v>444</v>
      </c>
      <c r="D560" s="18" t="n">
        <v>444</v>
      </c>
      <c r="E560" s="19" t="n">
        <v>350.958210008638</v>
      </c>
      <c r="F560" s="19" t="n">
        <v>372.313749536738</v>
      </c>
      <c r="G560" s="12" t="n">
        <f aca="false">E560/Combined_Summary!$B$23</f>
        <v>1403.83284003455</v>
      </c>
      <c r="H560" s="12" t="n">
        <f aca="false">F560/Combined_Summary!$B$23</f>
        <v>1489.25499814695</v>
      </c>
      <c r="I560" s="12" t="n">
        <f aca="false">H560-G560</f>
        <v>85.4221581123968</v>
      </c>
      <c r="J560" s="13" t="n">
        <f aca="false">IF(G560=0,"",I560/G560)</f>
        <v>0.0608492376558838</v>
      </c>
    </row>
    <row r="561" customFormat="false" ht="15" hidden="false" customHeight="false" outlineLevel="0" collapsed="false">
      <c r="A561" s="3" t="n">
        <v>59918</v>
      </c>
      <c r="B561" s="3" t="n">
        <v>181031</v>
      </c>
      <c r="C561" s="18" t="n">
        <v>470</v>
      </c>
      <c r="D561" s="18" t="n">
        <v>470</v>
      </c>
      <c r="E561" s="19" t="n">
        <v>320.049696382563</v>
      </c>
      <c r="F561" s="19" t="n">
        <v>344.787938268134</v>
      </c>
      <c r="G561" s="12" t="n">
        <f aca="false">E561/Combined_Summary!$B$23</f>
        <v>1280.19878553025</v>
      </c>
      <c r="H561" s="12" t="n">
        <f aca="false">F561/Combined_Summary!$B$23</f>
        <v>1379.15175307254</v>
      </c>
      <c r="I561" s="12" t="n">
        <f aca="false">H561-G561</f>
        <v>98.952967542283</v>
      </c>
      <c r="J561" s="13" t="n">
        <f aca="false">IF(G561=0,"",I561/G561)</f>
        <v>0.0772950018862087</v>
      </c>
    </row>
    <row r="562" customFormat="false" ht="15" hidden="false" customHeight="false" outlineLevel="0" collapsed="false">
      <c r="A562" s="3" t="n">
        <v>59919</v>
      </c>
      <c r="B562" s="3" t="n">
        <v>463430</v>
      </c>
      <c r="C562" s="18" t="n">
        <v>513</v>
      </c>
      <c r="D562" s="18" t="n">
        <v>513</v>
      </c>
      <c r="E562" s="19" t="n">
        <v>370.758202699658</v>
      </c>
      <c r="F562" s="19" t="n">
        <v>398.747968186644</v>
      </c>
      <c r="G562" s="12" t="n">
        <f aca="false">E562/Combined_Summary!$B$23</f>
        <v>1483.03281079863</v>
      </c>
      <c r="H562" s="12" t="n">
        <f aca="false">F562/Combined_Summary!$B$23</f>
        <v>1594.99187274658</v>
      </c>
      <c r="I562" s="12" t="n">
        <f aca="false">H562-G562</f>
        <v>111.959061947947</v>
      </c>
      <c r="J562" s="13" t="n">
        <f aca="false">IF(G562=0,"",I562/G562)</f>
        <v>0.0754933141955612</v>
      </c>
    </row>
    <row r="563" customFormat="false" ht="15" hidden="false" customHeight="false" outlineLevel="0" collapsed="false">
      <c r="A563" s="3" t="n">
        <v>59920</v>
      </c>
      <c r="B563" s="3" t="n">
        <v>182390</v>
      </c>
      <c r="C563" s="18" t="n">
        <v>599</v>
      </c>
      <c r="D563" s="18" t="n">
        <v>599</v>
      </c>
      <c r="E563" s="19" t="n">
        <v>350.275301033746</v>
      </c>
      <c r="F563" s="19" t="n">
        <v>368.002371939275</v>
      </c>
      <c r="G563" s="12" t="n">
        <f aca="false">E563/Combined_Summary!$B$23</f>
        <v>1401.10120413498</v>
      </c>
      <c r="H563" s="12" t="n">
        <f aca="false">F563/Combined_Summary!$B$23</f>
        <v>1472.0094877571</v>
      </c>
      <c r="I563" s="12" t="n">
        <f aca="false">H563-G563</f>
        <v>70.9082836221176</v>
      </c>
      <c r="J563" s="13" t="n">
        <f aca="false">IF(G563=0,"",I563/G563)</f>
        <v>0.050608966299401</v>
      </c>
    </row>
    <row r="564" customFormat="false" ht="15" hidden="false" customHeight="false" outlineLevel="0" collapsed="false">
      <c r="A564" s="3" t="n">
        <v>59921</v>
      </c>
      <c r="B564" s="3" t="n">
        <v>187764</v>
      </c>
      <c r="C564" s="18" t="n">
        <v>506</v>
      </c>
      <c r="D564" s="18" t="n">
        <v>506</v>
      </c>
      <c r="E564" s="19" t="n">
        <v>321.019274459055</v>
      </c>
      <c r="F564" s="19" t="n">
        <v>356.932880703169</v>
      </c>
      <c r="G564" s="12" t="n">
        <f aca="false">E564/Combined_Summary!$B$23</f>
        <v>1284.07709783622</v>
      </c>
      <c r="H564" s="12" t="n">
        <f aca="false">F564/Combined_Summary!$B$23</f>
        <v>1427.73152281267</v>
      </c>
      <c r="I564" s="12" t="n">
        <f aca="false">H564-G564</f>
        <v>143.654424976455</v>
      </c>
      <c r="J564" s="13" t="n">
        <f aca="false">IF(G564=0,"",I564/G564)</f>
        <v>0.11187367582408</v>
      </c>
    </row>
    <row r="565" customFormat="false" ht="15" hidden="false" customHeight="false" outlineLevel="0" collapsed="false">
      <c r="A565" s="3" t="n">
        <v>59935</v>
      </c>
      <c r="B565" s="3" t="n">
        <v>182418</v>
      </c>
      <c r="C565" s="18" t="n">
        <v>653</v>
      </c>
      <c r="D565" s="18" t="n">
        <v>653</v>
      </c>
      <c r="E565" s="19" t="n">
        <v>268.250961695112</v>
      </c>
      <c r="F565" s="19" t="n">
        <v>306.329334849055</v>
      </c>
      <c r="G565" s="12" t="n">
        <f aca="false">E565/Combined_Summary!$B$23</f>
        <v>1073.00384678045</v>
      </c>
      <c r="H565" s="12" t="n">
        <f aca="false">F565/Combined_Summary!$B$23</f>
        <v>1225.31733939622</v>
      </c>
      <c r="I565" s="12" t="n">
        <f aca="false">H565-G565</f>
        <v>152.313492615774</v>
      </c>
      <c r="J565" s="13" t="n">
        <f aca="false">IF(G565=0,"",I565/G565)</f>
        <v>0.141950555976841</v>
      </c>
    </row>
    <row r="566" customFormat="false" ht="15" hidden="false" customHeight="false" outlineLevel="0" collapsed="false">
      <c r="A566" s="3" t="n">
        <v>59936</v>
      </c>
      <c r="B566" s="3" t="n">
        <v>594074</v>
      </c>
      <c r="C566" s="18" t="n">
        <v>16</v>
      </c>
      <c r="D566" s="18" t="n">
        <v>16</v>
      </c>
      <c r="E566" s="19" t="n">
        <v>322.396245002747</v>
      </c>
      <c r="F566" s="19" t="n">
        <v>343.131151199341</v>
      </c>
      <c r="G566" s="12" t="n">
        <f aca="false">E566/Combined_Summary!$B$23</f>
        <v>1289.58498001099</v>
      </c>
      <c r="H566" s="12" t="n">
        <f aca="false">F566/Combined_Summary!$B$23</f>
        <v>1372.52460479736</v>
      </c>
      <c r="I566" s="12" t="n">
        <f aca="false">H566-G566</f>
        <v>82.939624786377</v>
      </c>
      <c r="J566" s="13" t="n">
        <f aca="false">IF(G566=0,"",I566/G566)</f>
        <v>0.064314974252934</v>
      </c>
    </row>
    <row r="567" customFormat="false" ht="15" hidden="false" customHeight="false" outlineLevel="0" collapsed="false">
      <c r="A567" s="3" t="n">
        <v>59952</v>
      </c>
      <c r="B567" s="3" t="n">
        <v>187773</v>
      </c>
      <c r="C567" s="18" t="n">
        <v>586</v>
      </c>
      <c r="D567" s="18" t="n">
        <v>586</v>
      </c>
      <c r="E567" s="19" t="n">
        <v>352.389989130326</v>
      </c>
      <c r="F567" s="19" t="n">
        <v>381.457341815831</v>
      </c>
      <c r="G567" s="12" t="n">
        <f aca="false">E567/Combined_Summary!$B$23</f>
        <v>1409.5599565213</v>
      </c>
      <c r="H567" s="12" t="n">
        <f aca="false">F567/Combined_Summary!$B$23</f>
        <v>1525.82936726333</v>
      </c>
      <c r="I567" s="12" t="n">
        <f aca="false">H567-G567</f>
        <v>116.269410742021</v>
      </c>
      <c r="J567" s="13" t="n">
        <f aca="false">IF(G567=0,"",I567/G567)</f>
        <v>0.0824863179491602</v>
      </c>
    </row>
    <row r="568" customFormat="false" ht="15" hidden="false" customHeight="false" outlineLevel="0" collapsed="false">
      <c r="A568" s="3" t="n">
        <v>59966</v>
      </c>
      <c r="B568" s="3" t="n">
        <v>181022</v>
      </c>
      <c r="C568" s="18" t="n">
        <v>625</v>
      </c>
      <c r="D568" s="18" t="n">
        <v>625</v>
      </c>
      <c r="E568" s="19" t="n">
        <v>350.181387915039</v>
      </c>
      <c r="F568" s="19" t="n">
        <v>380.024902636719</v>
      </c>
      <c r="G568" s="12" t="n">
        <f aca="false">E568/Combined_Summary!$B$23</f>
        <v>1400.72555166016</v>
      </c>
      <c r="H568" s="12" t="n">
        <f aca="false">F568/Combined_Summary!$B$23</f>
        <v>1520.09961054688</v>
      </c>
      <c r="I568" s="12" t="n">
        <f aca="false">H568-G568</f>
        <v>119.374058886719</v>
      </c>
      <c r="J568" s="13" t="n">
        <f aca="false">IF(G568=0,"",I568/G568)</f>
        <v>0.0852230179889524</v>
      </c>
    </row>
    <row r="569" customFormat="false" ht="15" hidden="false" customHeight="false" outlineLevel="0" collapsed="false">
      <c r="A569" s="3" t="n">
        <v>59967</v>
      </c>
      <c r="B569" s="3" t="n">
        <v>635452</v>
      </c>
      <c r="C569" s="18" t="n">
        <v>16</v>
      </c>
      <c r="D569" s="18" t="n">
        <v>16</v>
      </c>
      <c r="E569" s="19" t="n">
        <v>402.024082183838</v>
      </c>
      <c r="F569" s="19" t="n">
        <v>436.335359573364</v>
      </c>
      <c r="G569" s="12" t="n">
        <f aca="false">E569/Combined_Summary!$B$23</f>
        <v>1608.09632873535</v>
      </c>
      <c r="H569" s="12" t="n">
        <f aca="false">F569/Combined_Summary!$B$23</f>
        <v>1745.34143829346</v>
      </c>
      <c r="I569" s="12" t="n">
        <f aca="false">H569-G569</f>
        <v>137.245109558106</v>
      </c>
      <c r="J569" s="13" t="n">
        <f aca="false">IF(G569=0,"",I569/G569)</f>
        <v>0.0853463235414751</v>
      </c>
    </row>
    <row r="570" customFormat="false" ht="15" hidden="false" customHeight="false" outlineLevel="0" collapsed="false">
      <c r="A570" s="3" t="n">
        <v>59968</v>
      </c>
      <c r="B570" s="3" t="n">
        <v>187775</v>
      </c>
      <c r="C570" s="18" t="n">
        <v>446</v>
      </c>
      <c r="D570" s="18" t="n">
        <v>446</v>
      </c>
      <c r="E570" s="19" t="n">
        <v>334.203649717596</v>
      </c>
      <c r="F570" s="19" t="n">
        <v>358.657071767901</v>
      </c>
      <c r="G570" s="12" t="n">
        <f aca="false">E570/Combined_Summary!$B$23</f>
        <v>1336.81459887038</v>
      </c>
      <c r="H570" s="12" t="n">
        <f aca="false">F570/Combined_Summary!$B$23</f>
        <v>1434.6282870716</v>
      </c>
      <c r="I570" s="12" t="n">
        <f aca="false">H570-G570</f>
        <v>97.81368820122</v>
      </c>
      <c r="J570" s="13" t="n">
        <f aca="false">IF(G570=0,"",I570/G570)</f>
        <v>0.0731692250248262</v>
      </c>
    </row>
    <row r="571" customFormat="false" ht="15" hidden="false" customHeight="false" outlineLevel="0" collapsed="false">
      <c r="A571" s="3" t="n">
        <v>59980</v>
      </c>
      <c r="B571" s="3" t="n">
        <v>180989</v>
      </c>
      <c r="C571" s="18" t="n">
        <v>49</v>
      </c>
      <c r="D571" s="18" t="n">
        <v>49</v>
      </c>
      <c r="E571" s="19" t="n">
        <v>361.013217303218</v>
      </c>
      <c r="F571" s="19" t="n">
        <v>415.860281185228</v>
      </c>
      <c r="G571" s="12" t="n">
        <f aca="false">E571/Combined_Summary!$B$23</f>
        <v>1444.05286921287</v>
      </c>
      <c r="H571" s="12" t="n">
        <f aca="false">F571/Combined_Summary!$B$23</f>
        <v>1663.44112474091</v>
      </c>
      <c r="I571" s="12" t="n">
        <f aca="false">H571-G571</f>
        <v>219.388255528041</v>
      </c>
      <c r="J571" s="13" t="n">
        <f aca="false">IF(G571=0,"",I571/G571)</f>
        <v>0.15192536243332</v>
      </c>
    </row>
    <row r="572" customFormat="false" ht="15" hidden="false" customHeight="false" outlineLevel="0" collapsed="false">
      <c r="A572" s="3" t="n">
        <v>59981</v>
      </c>
      <c r="B572" s="3" t="n">
        <v>182483</v>
      </c>
      <c r="C572" s="18" t="n">
        <v>753</v>
      </c>
      <c r="D572" s="18" t="n">
        <v>753</v>
      </c>
      <c r="E572" s="19" t="n">
        <v>326.418881430252</v>
      </c>
      <c r="F572" s="19" t="n">
        <v>359.927262568379</v>
      </c>
      <c r="G572" s="12" t="n">
        <f aca="false">E572/Combined_Summary!$B$23</f>
        <v>1305.67552572101</v>
      </c>
      <c r="H572" s="12" t="n">
        <f aca="false">F572/Combined_Summary!$B$23</f>
        <v>1439.70905027352</v>
      </c>
      <c r="I572" s="12" t="n">
        <f aca="false">H572-G572</f>
        <v>134.033524552506</v>
      </c>
      <c r="J572" s="13" t="n">
        <f aca="false">IF(G572=0,"",I572/G572)</f>
        <v>0.102654543117434</v>
      </c>
    </row>
    <row r="573" customFormat="false" ht="15" hidden="false" customHeight="false" outlineLevel="0" collapsed="false">
      <c r="A573" s="3" t="n">
        <v>59982</v>
      </c>
      <c r="B573" s="3" t="n">
        <v>182481</v>
      </c>
      <c r="C573" s="18" t="n">
        <v>746</v>
      </c>
      <c r="D573" s="18" t="n">
        <v>746</v>
      </c>
      <c r="E573" s="19" t="n">
        <v>326.618727717259</v>
      </c>
      <c r="F573" s="19" t="n">
        <v>359.624558558733</v>
      </c>
      <c r="G573" s="12" t="n">
        <f aca="false">E573/Combined_Summary!$B$23</f>
        <v>1306.47491086904</v>
      </c>
      <c r="H573" s="12" t="n">
        <f aca="false">F573/Combined_Summary!$B$23</f>
        <v>1438.49823423493</v>
      </c>
      <c r="I573" s="12" t="n">
        <f aca="false">H573-G573</f>
        <v>132.023323365894</v>
      </c>
      <c r="J573" s="13" t="n">
        <f aca="false">IF(G573=0,"",I573/G573)</f>
        <v>0.101053087409138</v>
      </c>
    </row>
    <row r="574" customFormat="false" ht="15" hidden="false" customHeight="false" outlineLevel="0" collapsed="false">
      <c r="A574" s="3" t="n">
        <v>59983</v>
      </c>
      <c r="B574" s="3" t="n">
        <v>182411</v>
      </c>
      <c r="C574" s="18" t="n">
        <v>528</v>
      </c>
      <c r="D574" s="18" t="n">
        <v>528</v>
      </c>
      <c r="E574" s="19" t="n">
        <v>347.35145703229</v>
      </c>
      <c r="F574" s="19" t="n">
        <v>378.043498877323</v>
      </c>
      <c r="G574" s="12" t="n">
        <f aca="false">E574/Combined_Summary!$B$23</f>
        <v>1389.40582812916</v>
      </c>
      <c r="H574" s="12" t="n">
        <f aca="false">F574/Combined_Summary!$B$23</f>
        <v>1512.17399550929</v>
      </c>
      <c r="I574" s="12" t="n">
        <f aca="false">H574-G574</f>
        <v>122.76816738013</v>
      </c>
      <c r="J574" s="13" t="n">
        <f aca="false">IF(G574=0,"",I574/G574)</f>
        <v>0.0883601931808779</v>
      </c>
    </row>
    <row r="575" customFormat="false" ht="15" hidden="false" customHeight="false" outlineLevel="0" collapsed="false">
      <c r="A575" s="3" t="n">
        <v>59984</v>
      </c>
      <c r="B575" s="3" t="n">
        <v>187762</v>
      </c>
      <c r="C575" s="18" t="n">
        <v>321</v>
      </c>
      <c r="D575" s="18" t="n">
        <v>321</v>
      </c>
      <c r="E575" s="19" t="n">
        <v>357.785051197278</v>
      </c>
      <c r="F575" s="19" t="n">
        <v>387.855766320154</v>
      </c>
      <c r="G575" s="12" t="n">
        <f aca="false">E575/Combined_Summary!$B$23</f>
        <v>1431.14020478911</v>
      </c>
      <c r="H575" s="12" t="n">
        <f aca="false">F575/Combined_Summary!$B$23</f>
        <v>1551.42306528062</v>
      </c>
      <c r="I575" s="12" t="n">
        <f aca="false">H575-G575</f>
        <v>120.282860491506</v>
      </c>
      <c r="J575" s="13" t="n">
        <f aca="false">IF(G575=0,"",I575/G575)</f>
        <v>0.0840468740162537</v>
      </c>
    </row>
    <row r="576" customFormat="false" ht="15" hidden="false" customHeight="false" outlineLevel="0" collapsed="false">
      <c r="A576" s="3" t="n">
        <v>60001</v>
      </c>
      <c r="B576" s="3" t="n">
        <v>181009</v>
      </c>
      <c r="C576" s="18" t="n">
        <v>335</v>
      </c>
      <c r="D576" s="18" t="n">
        <v>335</v>
      </c>
      <c r="E576" s="19" t="n">
        <v>337.747441328817</v>
      </c>
      <c r="F576" s="19" t="n">
        <v>373.315337497085</v>
      </c>
      <c r="G576" s="12" t="n">
        <f aca="false">E576/Combined_Summary!$B$23</f>
        <v>1350.98976531527</v>
      </c>
      <c r="H576" s="12" t="n">
        <f aca="false">F576/Combined_Summary!$B$23</f>
        <v>1493.26134998834</v>
      </c>
      <c r="I576" s="12" t="n">
        <f aca="false">H576-G576</f>
        <v>142.271584673071</v>
      </c>
      <c r="J576" s="13" t="n">
        <f aca="false">IF(G576=0,"",I576/G576)</f>
        <v>0.105309150613639</v>
      </c>
    </row>
    <row r="577" customFormat="false" ht="15" hidden="false" customHeight="false" outlineLevel="0" collapsed="false">
      <c r="A577" s="3" t="n">
        <v>60002</v>
      </c>
      <c r="B577" s="3" t="n">
        <v>187771</v>
      </c>
      <c r="C577" s="18" t="n">
        <v>912</v>
      </c>
      <c r="D577" s="18" t="n">
        <v>912</v>
      </c>
      <c r="E577" s="19" t="n">
        <v>337.06572242787</v>
      </c>
      <c r="F577" s="19" t="n">
        <v>369.977564468718</v>
      </c>
      <c r="G577" s="12" t="n">
        <f aca="false">E577/Combined_Summary!$B$23</f>
        <v>1348.26288971148</v>
      </c>
      <c r="H577" s="12" t="n">
        <f aca="false">F577/Combined_Summary!$B$23</f>
        <v>1479.91025787487</v>
      </c>
      <c r="I577" s="12" t="n">
        <f aca="false">H577-G577</f>
        <v>131.647368163393</v>
      </c>
      <c r="J577" s="13" t="n">
        <f aca="false">IF(G577=0,"",I577/G577)</f>
        <v>0.0976422099636406</v>
      </c>
    </row>
    <row r="578" customFormat="false" ht="15" hidden="false" customHeight="false" outlineLevel="0" collapsed="false">
      <c r="A578" s="3" t="n">
        <v>60003</v>
      </c>
      <c r="B578" s="3" t="n">
        <v>187782</v>
      </c>
      <c r="C578" s="18" t="n">
        <v>547</v>
      </c>
      <c r="D578" s="18" t="n">
        <v>547</v>
      </c>
      <c r="E578" s="19" t="n">
        <v>314.263431556046</v>
      </c>
      <c r="F578" s="19" t="n">
        <v>350.435910115076</v>
      </c>
      <c r="G578" s="12" t="n">
        <f aca="false">E578/Combined_Summary!$B$23</f>
        <v>1257.05372622418</v>
      </c>
      <c r="H578" s="12" t="n">
        <f aca="false">F578/Combined_Summary!$B$23</f>
        <v>1401.74364046031</v>
      </c>
      <c r="I578" s="12" t="n">
        <f aca="false">H578-G578</f>
        <v>144.689914236121</v>
      </c>
      <c r="J578" s="13" t="n">
        <f aca="false">IF(G578=0,"",I578/G578)</f>
        <v>0.115102410674782</v>
      </c>
    </row>
    <row r="579" customFormat="false" ht="15" hidden="false" customHeight="false" outlineLevel="0" collapsed="false">
      <c r="A579" s="3" t="n">
        <v>60004</v>
      </c>
      <c r="B579" s="3" t="n">
        <v>566736</v>
      </c>
      <c r="C579" s="18" t="n">
        <v>16</v>
      </c>
      <c r="D579" s="18" t="n">
        <v>16</v>
      </c>
      <c r="E579" s="19" t="n">
        <v>328.250759124756</v>
      </c>
      <c r="F579" s="19" t="n">
        <v>350.691118240356</v>
      </c>
      <c r="G579" s="12" t="n">
        <f aca="false">E579/Combined_Summary!$B$23</f>
        <v>1313.00303649902</v>
      </c>
      <c r="H579" s="12" t="n">
        <f aca="false">F579/Combined_Summary!$B$23</f>
        <v>1402.76447296143</v>
      </c>
      <c r="I579" s="12" t="n">
        <f aca="false">H579-G579</f>
        <v>89.7614364624019</v>
      </c>
      <c r="J579" s="13" t="n">
        <f aca="false">IF(G579=0,"",I579/G579)</f>
        <v>0.0683634644910958</v>
      </c>
    </row>
    <row r="580" customFormat="false" ht="15" hidden="false" customHeight="false" outlineLevel="0" collapsed="false">
      <c r="A580" s="3" t="n">
        <v>60022</v>
      </c>
      <c r="B580" s="3" t="n">
        <v>193892</v>
      </c>
      <c r="C580" s="18" t="n">
        <v>932</v>
      </c>
      <c r="D580" s="18" t="n">
        <v>932</v>
      </c>
      <c r="E580" s="19" t="n">
        <v>320.770626878534</v>
      </c>
      <c r="F580" s="19" t="n">
        <v>340.573531637888</v>
      </c>
      <c r="G580" s="12" t="n">
        <f aca="false">E580/Combined_Summary!$B$23</f>
        <v>1283.08250751413</v>
      </c>
      <c r="H580" s="12" t="n">
        <f aca="false">F580/Combined_Summary!$B$23</f>
        <v>1362.29412655155</v>
      </c>
      <c r="I580" s="12" t="n">
        <f aca="false">H580-G580</f>
        <v>79.2116190374156</v>
      </c>
      <c r="J580" s="13" t="n">
        <f aca="false">IF(G580=0,"",I580/G580)</f>
        <v>0.0617354056138459</v>
      </c>
    </row>
    <row r="581" customFormat="false" ht="15" hidden="false" customHeight="false" outlineLevel="0" collapsed="false">
      <c r="A581" s="3" t="n">
        <v>60023</v>
      </c>
      <c r="B581" s="3" t="n">
        <v>589922</v>
      </c>
      <c r="C581" s="18" t="n">
        <v>16</v>
      </c>
      <c r="D581" s="18" t="n">
        <v>16</v>
      </c>
      <c r="E581" s="19" t="n">
        <v>332.759481430054</v>
      </c>
      <c r="F581" s="19" t="n">
        <v>360.942995071411</v>
      </c>
      <c r="G581" s="12" t="n">
        <f aca="false">E581/Combined_Summary!$B$23</f>
        <v>1331.03792572021</v>
      </c>
      <c r="H581" s="12" t="n">
        <f aca="false">F581/Combined_Summary!$B$23</f>
        <v>1443.77198028564</v>
      </c>
      <c r="I581" s="12" t="n">
        <f aca="false">H581-G581</f>
        <v>112.734054565429</v>
      </c>
      <c r="J581" s="13" t="n">
        <f aca="false">IF(G581=0,"",I581/G581)</f>
        <v>0.0846963504097225</v>
      </c>
    </row>
    <row r="582" customFormat="false" ht="15" hidden="false" customHeight="false" outlineLevel="0" collapsed="false">
      <c r="A582" s="3" t="n">
        <v>60054</v>
      </c>
      <c r="B582" s="3" t="n">
        <v>187834</v>
      </c>
      <c r="C582" s="18" t="n">
        <v>58</v>
      </c>
      <c r="D582" s="18" t="n">
        <v>58</v>
      </c>
      <c r="E582" s="19" t="n">
        <v>322.406376805799</v>
      </c>
      <c r="F582" s="19" t="n">
        <v>355.428613070784</v>
      </c>
      <c r="G582" s="12" t="n">
        <f aca="false">E582/Combined_Summary!$B$23</f>
        <v>1289.62550722319</v>
      </c>
      <c r="H582" s="12" t="n">
        <f aca="false">F582/Combined_Summary!$B$23</f>
        <v>1421.71445228314</v>
      </c>
      <c r="I582" s="12" t="n">
        <f aca="false">H582-G582</f>
        <v>132.088945059941</v>
      </c>
      <c r="J582" s="13" t="n">
        <f aca="false">IF(G582=0,"",I582/G582)</f>
        <v>0.102424265277099</v>
      </c>
    </row>
  </sheetData>
  <autoFilter ref="A1:J58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56"/>
  </cols>
  <sheetData>
    <row r="1" customFormat="false" ht="16.15" hidden="false" customHeight="false" outlineLevel="0" collapsed="false">
      <c r="A1" s="1" t="s">
        <v>47</v>
      </c>
    </row>
    <row r="2" customFormat="false" ht="15" hidden="false" customHeight="false" outlineLevel="0" collapsed="false">
      <c r="A2" s="2" t="s">
        <v>1</v>
      </c>
      <c r="B2" s="2" t="s">
        <v>26</v>
      </c>
      <c r="C2" s="2" t="s">
        <v>27</v>
      </c>
    </row>
    <row r="3" customFormat="false" ht="15" hidden="false" customHeight="false" outlineLevel="0" collapsed="false">
      <c r="A3" s="3" t="s">
        <v>4</v>
      </c>
      <c r="B3" s="11" t="n">
        <f aca="false">COUNT(East_Roofs!$I$2:$I$280)</f>
        <v>279</v>
      </c>
      <c r="C3" s="3" t="s">
        <v>28</v>
      </c>
    </row>
    <row r="4" customFormat="false" ht="15" hidden="false" customHeight="false" outlineLevel="0" collapsed="false">
      <c r="A4" s="3" t="s">
        <v>5</v>
      </c>
      <c r="B4" s="12" t="n">
        <f aca="false">AVERAGE(East_Roofs!$G$2:$G$280)</f>
        <v>1253.29235600153</v>
      </c>
      <c r="C4" s="3" t="s">
        <v>29</v>
      </c>
    </row>
    <row r="5" customFormat="false" ht="15" hidden="false" customHeight="false" outlineLevel="0" collapsed="false">
      <c r="A5" s="3" t="s">
        <v>6</v>
      </c>
      <c r="B5" s="12" t="n">
        <f aca="false">AVERAGE(East_Roofs!$H$2:$H$280)</f>
        <v>1376.70138675938</v>
      </c>
      <c r="C5" s="3"/>
    </row>
    <row r="6" customFormat="false" ht="15" hidden="false" customHeight="false" outlineLevel="0" collapsed="false">
      <c r="A6" s="3" t="s">
        <v>7</v>
      </c>
      <c r="B6" s="12" t="n">
        <f aca="false">AVERAGE(East_Roofs!$I$2:$I$280)</f>
        <v>123.409030757848</v>
      </c>
      <c r="C6" s="3" t="s">
        <v>30</v>
      </c>
    </row>
    <row r="7" customFormat="false" ht="15" hidden="false" customHeight="false" outlineLevel="0" collapsed="false">
      <c r="A7" s="3" t="s">
        <v>8</v>
      </c>
      <c r="B7" s="12" t="n">
        <f aca="false">SUMPRODUCT(ABS(East_Roofs!$I$2:$I$280))/B3</f>
        <v>123.409030757848</v>
      </c>
      <c r="C7" s="3" t="s">
        <v>31</v>
      </c>
    </row>
    <row r="8" customFormat="false" ht="15" hidden="false" customHeight="false" outlineLevel="0" collapsed="false">
      <c r="A8" s="3" t="s">
        <v>9</v>
      </c>
      <c r="B8" s="12" t="n">
        <f aca="false">SQRT(SUMSQ(East_Roofs!$I$2:$I$280)/B3)</f>
        <v>129.301674411758</v>
      </c>
      <c r="C8" s="3"/>
    </row>
    <row r="9" customFormat="false" ht="15" hidden="false" customHeight="false" outlineLevel="0" collapsed="false">
      <c r="A9" s="3" t="s">
        <v>10</v>
      </c>
      <c r="B9" s="13" t="n">
        <f aca="false">B6/B4</f>
        <v>0.0984678715759257</v>
      </c>
      <c r="C9" s="3"/>
    </row>
    <row r="10" customFormat="false" ht="15" hidden="false" customHeight="false" outlineLevel="0" collapsed="false">
      <c r="A10" s="3" t="s">
        <v>11</v>
      </c>
      <c r="B10" s="13" t="n">
        <f aca="false">B8/B4</f>
        <v>0.103169602680957</v>
      </c>
      <c r="C10" s="3"/>
    </row>
    <row r="11" customFormat="false" ht="15" hidden="false" customHeight="false" outlineLevel="0" collapsed="false">
      <c r="A11" s="3" t="s">
        <v>12</v>
      </c>
      <c r="B11" s="13" t="n">
        <f aca="false">MEDIAN(East_Roofs!$J$2:$J$280)</f>
        <v>0.0874194616135971</v>
      </c>
      <c r="C11" s="3"/>
    </row>
    <row r="12" customFormat="false" ht="15" hidden="false" customHeight="false" outlineLevel="0" collapsed="false">
      <c r="A12" s="3" t="s">
        <v>13</v>
      </c>
      <c r="B12" s="14" t="n">
        <f aca="false">CORREL(East_Roofs!$G$2:$G$280,East_Roofs!$H$2:$H$280)</f>
        <v>0.981095640822751</v>
      </c>
      <c r="C12" s="3"/>
    </row>
    <row r="13" customFormat="false" ht="15" hidden="false" customHeight="false" outlineLevel="0" collapsed="false">
      <c r="A13" s="3" t="s">
        <v>14</v>
      </c>
      <c r="B13" s="14" t="n">
        <f aca="false">RSQ(East_Roofs!$H$2:$H$280,East_Roofs!$G$2:$G$280)</f>
        <v>0.962548656441404</v>
      </c>
      <c r="C13" s="3"/>
    </row>
    <row r="14" customFormat="false" ht="15" hidden="false" customHeight="false" outlineLevel="0" collapsed="false">
      <c r="A14" s="3" t="s">
        <v>15</v>
      </c>
      <c r="B14" s="14" t="n">
        <f aca="false">SLOPE(East_Roofs!$H$2:$H$280,East_Roofs!$G$2:$G$280)</f>
        <v>0.834735893852296</v>
      </c>
      <c r="C14" s="3" t="s">
        <v>32</v>
      </c>
    </row>
    <row r="15" customFormat="false" ht="15" hidden="false" customHeight="false" outlineLevel="0" collapsed="false">
      <c r="A15" s="3" t="s">
        <v>16</v>
      </c>
      <c r="B15" s="12" t="n">
        <f aca="false">INTERCEPT(East_Roofs!$H$2:$H$280,East_Roofs!$G$2:$G$280)</f>
        <v>330.533271714192</v>
      </c>
      <c r="C15" s="3" t="s">
        <v>33</v>
      </c>
    </row>
    <row r="16" customFormat="false" ht="15" hidden="false" customHeight="false" outlineLevel="0" collapsed="false">
      <c r="A16" s="3" t="s">
        <v>17</v>
      </c>
      <c r="B16" s="11" t="n">
        <f aca="false">COUNTIF(East_Roofs!$I$2:$I$280,"&gt;0")</f>
        <v>279</v>
      </c>
      <c r="C16" s="3"/>
    </row>
    <row r="17" customFormat="false" ht="15" hidden="false" customHeight="false" outlineLevel="0" collapsed="false">
      <c r="A17" s="3" t="s">
        <v>18</v>
      </c>
      <c r="B17" s="15" t="n">
        <v>0.9426</v>
      </c>
      <c r="C17" s="3" t="s">
        <v>34</v>
      </c>
    </row>
    <row r="18" customFormat="false" ht="15" hidden="false" customHeight="false" outlineLevel="0" collapsed="false">
      <c r="A18" s="3" t="s">
        <v>19</v>
      </c>
      <c r="B18" s="16" t="n">
        <v>1.65892547313296E-047</v>
      </c>
      <c r="C18" s="3" t="s">
        <v>35</v>
      </c>
    </row>
    <row r="20" customFormat="false" ht="15" hidden="false" customHeight="false" outlineLevel="0" collapsed="false">
      <c r="A20" s="9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4" min="3" style="0" width="13"/>
    <col collapsed="false" customWidth="true" hidden="false" outlineLevel="0" max="8" min="5" style="0" width="14"/>
    <col collapsed="false" customWidth="true" hidden="false" outlineLevel="0" max="9" min="9" style="0" width="18"/>
    <col collapsed="false" customWidth="true" hidden="false" outlineLevel="0" max="10" min="10" style="0" width="14"/>
  </cols>
  <sheetData>
    <row r="1" customFormat="false" ht="57.75" hidden="false" customHeight="true" outlineLevel="0" collapsed="false">
      <c r="A1" s="17" t="s">
        <v>37</v>
      </c>
      <c r="B1" s="17" t="s">
        <v>38</v>
      </c>
      <c r="C1" s="17" t="s">
        <v>39</v>
      </c>
      <c r="D1" s="17" t="s">
        <v>40</v>
      </c>
      <c r="E1" s="17" t="s">
        <v>41</v>
      </c>
      <c r="F1" s="17" t="s">
        <v>42</v>
      </c>
      <c r="G1" s="17" t="s">
        <v>43</v>
      </c>
      <c r="H1" s="17" t="s">
        <v>44</v>
      </c>
      <c r="I1" s="17" t="s">
        <v>45</v>
      </c>
      <c r="J1" s="17" t="s">
        <v>46</v>
      </c>
    </row>
    <row r="2" customFormat="false" ht="15" hidden="false" customHeight="false" outlineLevel="0" collapsed="false">
      <c r="A2" s="3" t="n">
        <v>2516</v>
      </c>
      <c r="B2" s="3" t="n">
        <v>451111</v>
      </c>
      <c r="C2" s="18" t="n">
        <v>351</v>
      </c>
      <c r="D2" s="18" t="n">
        <v>351</v>
      </c>
      <c r="E2" s="19" t="n">
        <v>319.283078598501</v>
      </c>
      <c r="F2" s="19" t="n">
        <v>356.929477267795</v>
      </c>
      <c r="G2" s="12" t="n">
        <f aca="false">E2/Combined_Summary!$B$23</f>
        <v>1277.132314394</v>
      </c>
      <c r="H2" s="12" t="n">
        <f aca="false">F2/Combined_Summary!$B$23</f>
        <v>1427.71790907118</v>
      </c>
      <c r="I2" s="12" t="n">
        <f aca="false">H2-G2</f>
        <v>150.585594677178</v>
      </c>
      <c r="J2" s="13" t="n">
        <f aca="false">IF(G2=0,"",I2/G2)</f>
        <v>0.117909157085756</v>
      </c>
    </row>
    <row r="3" customFormat="false" ht="15" hidden="false" customHeight="false" outlineLevel="0" collapsed="false">
      <c r="A3" s="3" t="n">
        <v>2517</v>
      </c>
      <c r="B3" s="3" t="n">
        <v>224024</v>
      </c>
      <c r="C3" s="18" t="n">
        <v>1175</v>
      </c>
      <c r="D3" s="18" t="n">
        <v>1175</v>
      </c>
      <c r="E3" s="19" t="n">
        <v>326.6623112293</v>
      </c>
      <c r="F3" s="19" t="n">
        <v>351.588770427298</v>
      </c>
      <c r="G3" s="12" t="n">
        <f aca="false">E3/Combined_Summary!$B$23</f>
        <v>1306.6492449172</v>
      </c>
      <c r="H3" s="12" t="n">
        <f aca="false">F3/Combined_Summary!$B$23</f>
        <v>1406.35508170919</v>
      </c>
      <c r="I3" s="12" t="n">
        <f aca="false">H3-G3</f>
        <v>99.7058367919922</v>
      </c>
      <c r="J3" s="13" t="n">
        <f aca="false">IF(G3=0,"",I3/G3)</f>
        <v>0.0763065047332655</v>
      </c>
    </row>
    <row r="4" customFormat="false" ht="15" hidden="false" customHeight="false" outlineLevel="0" collapsed="false">
      <c r="A4" s="3" t="n">
        <v>2528</v>
      </c>
      <c r="B4" s="3" t="n">
        <v>223998</v>
      </c>
      <c r="C4" s="18" t="n">
        <v>975</v>
      </c>
      <c r="D4" s="18" t="n">
        <v>975</v>
      </c>
      <c r="E4" s="19" t="n">
        <v>341.347208752754</v>
      </c>
      <c r="F4" s="19" t="n">
        <v>363.804173036233</v>
      </c>
      <c r="G4" s="12" t="n">
        <f aca="false">E4/Combined_Summary!$B$23</f>
        <v>1365.38883501102</v>
      </c>
      <c r="H4" s="12" t="n">
        <f aca="false">F4/Combined_Summary!$B$23</f>
        <v>1455.21669214493</v>
      </c>
      <c r="I4" s="12" t="n">
        <f aca="false">H4-G4</f>
        <v>89.8278571339145</v>
      </c>
      <c r="J4" s="13" t="n">
        <f aca="false">IF(G4=0,"",I4/G4)</f>
        <v>0.0657892131754466</v>
      </c>
    </row>
    <row r="5" customFormat="false" ht="15" hidden="false" customHeight="false" outlineLevel="0" collapsed="false">
      <c r="A5" s="3" t="n">
        <v>2538</v>
      </c>
      <c r="B5" s="3" t="n">
        <v>232132</v>
      </c>
      <c r="C5" s="18" t="n">
        <v>673</v>
      </c>
      <c r="D5" s="18" t="n">
        <v>673</v>
      </c>
      <c r="E5" s="19" t="n">
        <v>339.733056197372</v>
      </c>
      <c r="F5" s="19" t="n">
        <v>366.265947520467</v>
      </c>
      <c r="G5" s="12" t="n">
        <f aca="false">E5/Combined_Summary!$B$23</f>
        <v>1358.93222478949</v>
      </c>
      <c r="H5" s="12" t="n">
        <f aca="false">F5/Combined_Summary!$B$23</f>
        <v>1465.06379008187</v>
      </c>
      <c r="I5" s="12" t="n">
        <f aca="false">H5-G5</f>
        <v>106.131565292381</v>
      </c>
      <c r="J5" s="13" t="n">
        <f aca="false">IF(G5=0,"",I5/G5)</f>
        <v>0.0780992336161739</v>
      </c>
    </row>
    <row r="6" customFormat="false" ht="15" hidden="false" customHeight="false" outlineLevel="0" collapsed="false">
      <c r="A6" s="3" t="n">
        <v>2539</v>
      </c>
      <c r="B6" s="3" t="n">
        <v>224031</v>
      </c>
      <c r="C6" s="18" t="n">
        <v>936</v>
      </c>
      <c r="D6" s="18" t="n">
        <v>936</v>
      </c>
      <c r="E6" s="19" t="n">
        <v>327.764339047619</v>
      </c>
      <c r="F6" s="19" t="n">
        <v>354.027904649066</v>
      </c>
      <c r="G6" s="12" t="n">
        <f aca="false">E6/Combined_Summary!$B$23</f>
        <v>1311.05735619048</v>
      </c>
      <c r="H6" s="12" t="n">
        <f aca="false">F6/Combined_Summary!$B$23</f>
        <v>1416.11161859626</v>
      </c>
      <c r="I6" s="12" t="n">
        <f aca="false">H6-G6</f>
        <v>105.054262405787</v>
      </c>
      <c r="J6" s="13" t="n">
        <f aca="false">IF(G6=0,"",I6/G6)</f>
        <v>0.0801294176107151</v>
      </c>
    </row>
    <row r="7" customFormat="false" ht="15" hidden="false" customHeight="false" outlineLevel="0" collapsed="false">
      <c r="A7" s="3" t="n">
        <v>2540</v>
      </c>
      <c r="B7" s="3" t="n">
        <v>224021</v>
      </c>
      <c r="C7" s="18" t="n">
        <v>505</v>
      </c>
      <c r="D7" s="18" t="n">
        <v>505</v>
      </c>
      <c r="E7" s="19" t="n">
        <v>316.775179857311</v>
      </c>
      <c r="F7" s="19" t="n">
        <v>339.68938643956</v>
      </c>
      <c r="G7" s="12" t="n">
        <f aca="false">E7/Combined_Summary!$B$23</f>
        <v>1267.10071942924</v>
      </c>
      <c r="H7" s="12" t="n">
        <f aca="false">F7/Combined_Summary!$B$23</f>
        <v>1358.75754575824</v>
      </c>
      <c r="I7" s="12" t="n">
        <f aca="false">H7-G7</f>
        <v>91.6568263289951</v>
      </c>
      <c r="J7" s="13" t="n">
        <f aca="false">IF(G7=0,"",I7/G7)</f>
        <v>0.0723358648002988</v>
      </c>
    </row>
    <row r="8" customFormat="false" ht="15" hidden="false" customHeight="false" outlineLevel="0" collapsed="false">
      <c r="A8" s="3" t="n">
        <v>2541</v>
      </c>
      <c r="B8" s="3" t="n">
        <v>223887</v>
      </c>
      <c r="C8" s="18" t="n">
        <v>564</v>
      </c>
      <c r="D8" s="18" t="n">
        <v>564</v>
      </c>
      <c r="E8" s="19" t="n">
        <v>344.555715141567</v>
      </c>
      <c r="F8" s="19" t="n">
        <v>362.741870907182</v>
      </c>
      <c r="G8" s="12" t="n">
        <f aca="false">E8/Combined_Summary!$B$23</f>
        <v>1378.22286056627</v>
      </c>
      <c r="H8" s="12" t="n">
        <f aca="false">F8/Combined_Summary!$B$23</f>
        <v>1450.96748362873</v>
      </c>
      <c r="I8" s="12" t="n">
        <f aca="false">H8-G8</f>
        <v>72.7446230624585</v>
      </c>
      <c r="J8" s="13" t="n">
        <f aca="false">IF(G8=0,"",I8/G8)</f>
        <v>0.0527814660051206</v>
      </c>
    </row>
    <row r="9" customFormat="false" ht="15" hidden="false" customHeight="false" outlineLevel="0" collapsed="false">
      <c r="A9" s="3" t="n">
        <v>2559</v>
      </c>
      <c r="B9" s="3" t="n">
        <v>649555</v>
      </c>
      <c r="C9" s="18" t="n">
        <v>16</v>
      </c>
      <c r="D9" s="18" t="n">
        <v>16</v>
      </c>
      <c r="E9" s="19" t="n">
        <v>307.643100738525</v>
      </c>
      <c r="F9" s="19" t="n">
        <v>333.535833358765</v>
      </c>
      <c r="G9" s="12" t="n">
        <f aca="false">E9/Combined_Summary!$B$23</f>
        <v>1230.5724029541</v>
      </c>
      <c r="H9" s="12" t="n">
        <f aca="false">F9/Combined_Summary!$B$23</f>
        <v>1334.14333343506</v>
      </c>
      <c r="I9" s="12" t="n">
        <f aca="false">H9-G9</f>
        <v>103.570930480957</v>
      </c>
      <c r="J9" s="13" t="n">
        <f aca="false">IF(G9=0,"",I9/G9)</f>
        <v>0.0841648408759414</v>
      </c>
    </row>
    <row r="10" customFormat="false" ht="15" hidden="false" customHeight="false" outlineLevel="0" collapsed="false">
      <c r="A10" s="3" t="n">
        <v>2565</v>
      </c>
      <c r="B10" s="3" t="n">
        <v>646343</v>
      </c>
      <c r="C10" s="18" t="n">
        <v>16</v>
      </c>
      <c r="D10" s="18" t="n">
        <v>16</v>
      </c>
      <c r="E10" s="19" t="n">
        <v>338.388107299805</v>
      </c>
      <c r="F10" s="19" t="n">
        <v>351.072807312012</v>
      </c>
      <c r="G10" s="12" t="n">
        <f aca="false">E10/Combined_Summary!$B$23</f>
        <v>1353.55242919922</v>
      </c>
      <c r="H10" s="12" t="n">
        <f aca="false">F10/Combined_Summary!$B$23</f>
        <v>1404.29122924805</v>
      </c>
      <c r="I10" s="12" t="n">
        <f aca="false">H10-G10</f>
        <v>50.7388000488281</v>
      </c>
      <c r="J10" s="13" t="n">
        <f aca="false">IF(G10=0,"",I10/G10)</f>
        <v>0.0374856554901578</v>
      </c>
    </row>
    <row r="11" customFormat="false" ht="15" hidden="false" customHeight="false" outlineLevel="0" collapsed="false">
      <c r="A11" s="3" t="n">
        <v>2566</v>
      </c>
      <c r="B11" s="3" t="n">
        <v>649646</v>
      </c>
      <c r="C11" s="18" t="n">
        <v>16</v>
      </c>
      <c r="D11" s="18" t="n">
        <v>16</v>
      </c>
      <c r="E11" s="19" t="n">
        <v>288.024904251099</v>
      </c>
      <c r="F11" s="19" t="n">
        <v>318.46381187439</v>
      </c>
      <c r="G11" s="12" t="n">
        <f aca="false">E11/Combined_Summary!$B$23</f>
        <v>1152.09961700439</v>
      </c>
      <c r="H11" s="12" t="n">
        <f aca="false">F11/Combined_Summary!$B$23</f>
        <v>1273.85524749756</v>
      </c>
      <c r="I11" s="12" t="n">
        <f aca="false">H11-G11</f>
        <v>121.755630493164</v>
      </c>
      <c r="J11" s="13" t="n">
        <f aca="false">IF(G11=0,"",I11/G11)</f>
        <v>0.105681512862355</v>
      </c>
    </row>
    <row r="12" customFormat="false" ht="15" hidden="false" customHeight="false" outlineLevel="0" collapsed="false">
      <c r="A12" s="3" t="n">
        <v>2567</v>
      </c>
      <c r="B12" s="3" t="n">
        <v>224082</v>
      </c>
      <c r="C12" s="18" t="n">
        <v>529</v>
      </c>
      <c r="D12" s="18" t="n">
        <v>529</v>
      </c>
      <c r="E12" s="19" t="n">
        <v>341.419207033904</v>
      </c>
      <c r="F12" s="19" t="n">
        <v>373.960118919329</v>
      </c>
      <c r="G12" s="12" t="n">
        <f aca="false">E12/Combined_Summary!$B$23</f>
        <v>1365.67682813561</v>
      </c>
      <c r="H12" s="12" t="n">
        <f aca="false">F12/Combined_Summary!$B$23</f>
        <v>1495.84047567732</v>
      </c>
      <c r="I12" s="12" t="n">
        <f aca="false">H12-G12</f>
        <v>130.163647541702</v>
      </c>
      <c r="J12" s="13" t="n">
        <f aca="false">IF(G12=0,"",I12/G12)</f>
        <v>0.0953107242211895</v>
      </c>
    </row>
    <row r="13" customFormat="false" ht="15" hidden="false" customHeight="false" outlineLevel="0" collapsed="false">
      <c r="A13" s="3" t="n">
        <v>2568</v>
      </c>
      <c r="B13" s="3" t="n">
        <v>224044</v>
      </c>
      <c r="C13" s="18" t="n">
        <v>1024</v>
      </c>
      <c r="D13" s="18" t="n">
        <v>1024</v>
      </c>
      <c r="E13" s="19" t="n">
        <v>324.7030255422</v>
      </c>
      <c r="F13" s="19" t="n">
        <v>356.096080005169</v>
      </c>
      <c r="G13" s="12" t="n">
        <f aca="false">E13/Combined_Summary!$B$23</f>
        <v>1298.8121021688</v>
      </c>
      <c r="H13" s="12" t="n">
        <f aca="false">F13/Combined_Summary!$B$23</f>
        <v>1424.38432002068</v>
      </c>
      <c r="I13" s="12" t="n">
        <f aca="false">H13-G13</f>
        <v>125.572217851877</v>
      </c>
      <c r="J13" s="13" t="n">
        <f aca="false">IF(G13=0,"",I13/G13)</f>
        <v>0.096682358935671</v>
      </c>
    </row>
    <row r="14" customFormat="false" ht="15" hidden="false" customHeight="false" outlineLevel="0" collapsed="false">
      <c r="A14" s="3" t="n">
        <v>2569</v>
      </c>
      <c r="B14" s="3" t="n">
        <v>232124</v>
      </c>
      <c r="C14" s="18" t="n">
        <v>609</v>
      </c>
      <c r="D14" s="18" t="n">
        <v>609</v>
      </c>
      <c r="E14" s="19" t="n">
        <v>307.258853260911</v>
      </c>
      <c r="F14" s="19" t="n">
        <v>331.654026726784</v>
      </c>
      <c r="G14" s="12" t="n">
        <f aca="false">E14/Combined_Summary!$B$23</f>
        <v>1229.03541304364</v>
      </c>
      <c r="H14" s="12" t="n">
        <f aca="false">F14/Combined_Summary!$B$23</f>
        <v>1326.61610690714</v>
      </c>
      <c r="I14" s="12" t="n">
        <f aca="false">H14-G14</f>
        <v>97.5806938634917</v>
      </c>
      <c r="J14" s="13" t="n">
        <f aca="false">IF(G14=0,"",I14/G14)</f>
        <v>0.0793961612723901</v>
      </c>
    </row>
    <row r="15" customFormat="false" ht="15" hidden="false" customHeight="false" outlineLevel="0" collapsed="false">
      <c r="A15" s="3" t="n">
        <v>2570</v>
      </c>
      <c r="B15" s="3" t="n">
        <v>224034</v>
      </c>
      <c r="C15" s="18" t="n">
        <v>512</v>
      </c>
      <c r="D15" s="18" t="n">
        <v>512</v>
      </c>
      <c r="E15" s="19" t="n">
        <v>329.270344726741</v>
      </c>
      <c r="F15" s="19" t="n">
        <v>363.177273735404</v>
      </c>
      <c r="G15" s="12" t="n">
        <f aca="false">E15/Combined_Summary!$B$23</f>
        <v>1317.08137890697</v>
      </c>
      <c r="H15" s="12" t="n">
        <f aca="false">F15/Combined_Summary!$B$23</f>
        <v>1452.70909494162</v>
      </c>
      <c r="I15" s="12" t="n">
        <f aca="false">H15-G15</f>
        <v>135.627716034651</v>
      </c>
      <c r="J15" s="13" t="n">
        <f aca="false">IF(G15=0,"",I15/G15)</f>
        <v>0.102975957451625</v>
      </c>
    </row>
    <row r="16" customFormat="false" ht="15" hidden="false" customHeight="false" outlineLevel="0" collapsed="false">
      <c r="A16" s="3" t="n">
        <v>2571</v>
      </c>
      <c r="B16" s="3" t="n">
        <v>223894</v>
      </c>
      <c r="C16" s="18" t="n">
        <v>1176</v>
      </c>
      <c r="D16" s="18" t="n">
        <v>1176</v>
      </c>
      <c r="E16" s="19" t="n">
        <v>335.834367184412</v>
      </c>
      <c r="F16" s="19" t="n">
        <v>360.759543405909</v>
      </c>
      <c r="G16" s="12" t="n">
        <f aca="false">E16/Combined_Summary!$B$23</f>
        <v>1343.33746873765</v>
      </c>
      <c r="H16" s="12" t="n">
        <f aca="false">F16/Combined_Summary!$B$23</f>
        <v>1443.03817362364</v>
      </c>
      <c r="I16" s="12" t="n">
        <f aca="false">H16-G16</f>
        <v>99.7007048859887</v>
      </c>
      <c r="J16" s="13" t="n">
        <f aca="false">IF(G16=0,"",I16/G16)</f>
        <v>0.0742186585323782</v>
      </c>
    </row>
    <row r="17" customFormat="false" ht="15" hidden="false" customHeight="false" outlineLevel="0" collapsed="false">
      <c r="A17" s="3" t="n">
        <v>2586</v>
      </c>
      <c r="B17" s="3" t="n">
        <v>646338</v>
      </c>
      <c r="C17" s="18" t="n">
        <v>16</v>
      </c>
      <c r="D17" s="18" t="n">
        <v>16</v>
      </c>
      <c r="E17" s="19" t="n">
        <v>369.964985847473</v>
      </c>
      <c r="F17" s="19" t="n">
        <v>370.824919700623</v>
      </c>
      <c r="G17" s="12" t="n">
        <f aca="false">E17/Combined_Summary!$B$23</f>
        <v>1479.85994338989</v>
      </c>
      <c r="H17" s="12" t="n">
        <f aca="false">F17/Combined_Summary!$B$23</f>
        <v>1483.29967880249</v>
      </c>
      <c r="I17" s="12" t="n">
        <f aca="false">H17-G17</f>
        <v>3.43973541259811</v>
      </c>
      <c r="J17" s="13" t="n">
        <f aca="false">IF(G17=0,"",I17/G17)</f>
        <v>0.00232436551037307</v>
      </c>
    </row>
    <row r="18" customFormat="false" ht="15" hidden="false" customHeight="false" outlineLevel="0" collapsed="false">
      <c r="A18" s="3" t="n">
        <v>2587</v>
      </c>
      <c r="B18" s="3" t="n">
        <v>232133</v>
      </c>
      <c r="C18" s="18" t="n">
        <v>791</v>
      </c>
      <c r="D18" s="18" t="n">
        <v>791</v>
      </c>
      <c r="E18" s="19" t="n">
        <v>323.765337523257</v>
      </c>
      <c r="F18" s="19" t="n">
        <v>351.567693929757</v>
      </c>
      <c r="G18" s="12" t="n">
        <f aca="false">E18/Combined_Summary!$B$23</f>
        <v>1295.06135009303</v>
      </c>
      <c r="H18" s="12" t="n">
        <f aca="false">F18/Combined_Summary!$B$23</f>
        <v>1406.27077571903</v>
      </c>
      <c r="I18" s="12" t="n">
        <f aca="false">H18-G18</f>
        <v>111.209425626</v>
      </c>
      <c r="J18" s="13" t="n">
        <f aca="false">IF(G18=0,"",I18/G18)</f>
        <v>0.0858719361966996</v>
      </c>
    </row>
    <row r="19" customFormat="false" ht="15" hidden="false" customHeight="false" outlineLevel="0" collapsed="false">
      <c r="A19" s="3" t="n">
        <v>2588</v>
      </c>
      <c r="B19" s="3" t="n">
        <v>232110</v>
      </c>
      <c r="C19" s="18" t="n">
        <v>735</v>
      </c>
      <c r="D19" s="18" t="n">
        <v>735</v>
      </c>
      <c r="E19" s="19" t="n">
        <v>350.164871117209</v>
      </c>
      <c r="F19" s="19" t="n">
        <v>373.460653728044</v>
      </c>
      <c r="G19" s="12" t="n">
        <f aca="false">E19/Combined_Summary!$B$23</f>
        <v>1400.65948446884</v>
      </c>
      <c r="H19" s="12" t="n">
        <f aca="false">F19/Combined_Summary!$B$23</f>
        <v>1493.84261491218</v>
      </c>
      <c r="I19" s="12" t="n">
        <f aca="false">H19-G19</f>
        <v>93.1831304433397</v>
      </c>
      <c r="J19" s="13" t="n">
        <f aca="false">IF(G19=0,"",I19/G19)</f>
        <v>0.0665280401672195</v>
      </c>
    </row>
    <row r="20" customFormat="false" ht="15" hidden="false" customHeight="false" outlineLevel="0" collapsed="false">
      <c r="A20" s="3" t="n">
        <v>2600</v>
      </c>
      <c r="B20" s="3" t="n">
        <v>223974</v>
      </c>
      <c r="C20" s="18" t="n">
        <v>785</v>
      </c>
      <c r="D20" s="18" t="n">
        <v>785</v>
      </c>
      <c r="E20" s="19" t="n">
        <v>336.890046900853</v>
      </c>
      <c r="F20" s="19" t="n">
        <v>361.991296124307</v>
      </c>
      <c r="G20" s="12" t="n">
        <f aca="false">E20/Combined_Summary!$B$23</f>
        <v>1347.56018760341</v>
      </c>
      <c r="H20" s="12" t="n">
        <f aca="false">F20/Combined_Summary!$B$23</f>
        <v>1447.96518449723</v>
      </c>
      <c r="I20" s="12" t="n">
        <f aca="false">H20-G20</f>
        <v>100.404996893816</v>
      </c>
      <c r="J20" s="13" t="n">
        <f aca="false">IF(G20=0,"",I20/G20)</f>
        <v>0.0745087290478526</v>
      </c>
    </row>
    <row r="21" customFormat="false" ht="15" hidden="false" customHeight="false" outlineLevel="0" collapsed="false">
      <c r="A21" s="3" t="n">
        <v>2618</v>
      </c>
      <c r="B21" s="3" t="n">
        <v>224170</v>
      </c>
      <c r="C21" s="18" t="n">
        <v>672</v>
      </c>
      <c r="D21" s="18" t="n">
        <v>672</v>
      </c>
      <c r="E21" s="19" t="n">
        <v>307.077863630794</v>
      </c>
      <c r="F21" s="19" t="n">
        <v>344.797265279861</v>
      </c>
      <c r="G21" s="12" t="n">
        <f aca="false">E21/Combined_Summary!$B$23</f>
        <v>1228.31145452318</v>
      </c>
      <c r="H21" s="12" t="n">
        <f aca="false">F21/Combined_Summary!$B$23</f>
        <v>1379.18906111944</v>
      </c>
      <c r="I21" s="12" t="n">
        <f aca="false">H21-G21</f>
        <v>150.877606596265</v>
      </c>
      <c r="J21" s="13" t="n">
        <f aca="false">IF(G21=0,"",I21/G21)</f>
        <v>0.122833346575633</v>
      </c>
    </row>
    <row r="22" customFormat="false" ht="15" hidden="false" customHeight="false" outlineLevel="0" collapsed="false">
      <c r="A22" s="3" t="n">
        <v>2619</v>
      </c>
      <c r="B22" s="3" t="n">
        <v>224010</v>
      </c>
      <c r="C22" s="18" t="n">
        <v>664</v>
      </c>
      <c r="D22" s="18" t="n">
        <v>664</v>
      </c>
      <c r="E22" s="19" t="n">
        <v>335.158752458641</v>
      </c>
      <c r="F22" s="19" t="n">
        <v>362.61230903074</v>
      </c>
      <c r="G22" s="12" t="n">
        <f aca="false">E22/Combined_Summary!$B$23</f>
        <v>1340.63500983457</v>
      </c>
      <c r="H22" s="12" t="n">
        <f aca="false">F22/Combined_Summary!$B$23</f>
        <v>1450.44923612296</v>
      </c>
      <c r="I22" s="12" t="n">
        <f aca="false">H22-G22</f>
        <v>109.814226288394</v>
      </c>
      <c r="J22" s="13" t="n">
        <f aca="false">IF(G22=0,"",I22/G22)</f>
        <v>0.0819120979855246</v>
      </c>
    </row>
    <row r="23" customFormat="false" ht="15" hidden="false" customHeight="false" outlineLevel="0" collapsed="false">
      <c r="A23" s="3" t="n">
        <v>2628</v>
      </c>
      <c r="B23" s="3" t="n">
        <v>224296</v>
      </c>
      <c r="C23" s="18" t="n">
        <v>646</v>
      </c>
      <c r="D23" s="18" t="n">
        <v>646</v>
      </c>
      <c r="E23" s="19" t="n">
        <v>321.029296556124</v>
      </c>
      <c r="F23" s="19" t="n">
        <v>349.982724806842</v>
      </c>
      <c r="G23" s="12" t="n">
        <f aca="false">E23/Combined_Summary!$B$23</f>
        <v>1284.1171862245</v>
      </c>
      <c r="H23" s="12" t="n">
        <f aca="false">F23/Combined_Summary!$B$23</f>
        <v>1399.93089922737</v>
      </c>
      <c r="I23" s="12" t="n">
        <f aca="false">H23-G23</f>
        <v>115.813713002869</v>
      </c>
      <c r="J23" s="13" t="n">
        <f aca="false">IF(G23=0,"",I23/G23)</f>
        <v>0.0901893645262855</v>
      </c>
    </row>
    <row r="24" customFormat="false" ht="15" hidden="false" customHeight="false" outlineLevel="0" collapsed="false">
      <c r="A24" s="3" t="n">
        <v>2632</v>
      </c>
      <c r="B24" s="3" t="n">
        <v>224112</v>
      </c>
      <c r="C24" s="18" t="n">
        <v>917</v>
      </c>
      <c r="D24" s="18" t="n">
        <v>917</v>
      </c>
      <c r="E24" s="19" t="n">
        <v>330.779473748826</v>
      </c>
      <c r="F24" s="19" t="n">
        <v>353.470425088897</v>
      </c>
      <c r="G24" s="12" t="n">
        <f aca="false">E24/Combined_Summary!$B$23</f>
        <v>1323.1178949953</v>
      </c>
      <c r="H24" s="12" t="n">
        <f aca="false">F24/Combined_Summary!$B$23</f>
        <v>1413.88170035559</v>
      </c>
      <c r="I24" s="12" t="n">
        <f aca="false">H24-G24</f>
        <v>90.7638053602843</v>
      </c>
      <c r="J24" s="13" t="n">
        <f aca="false">IF(G24=0,"",I24/G24)</f>
        <v>0.0685984262654134</v>
      </c>
    </row>
    <row r="25" customFormat="false" ht="15" hidden="false" customHeight="false" outlineLevel="0" collapsed="false">
      <c r="A25" s="3" t="n">
        <v>2633</v>
      </c>
      <c r="B25" s="3" t="n">
        <v>223984</v>
      </c>
      <c r="C25" s="18" t="n">
        <v>523</v>
      </c>
      <c r="D25" s="18" t="n">
        <v>523</v>
      </c>
      <c r="E25" s="19" t="n">
        <v>169.710982335457</v>
      </c>
      <c r="F25" s="19" t="n">
        <v>226.19180294934</v>
      </c>
      <c r="G25" s="12" t="n">
        <f aca="false">E25/Combined_Summary!$B$23</f>
        <v>678.843929341828</v>
      </c>
      <c r="H25" s="12" t="n">
        <f aca="false">F25/Combined_Summary!$B$23</f>
        <v>904.76721179736</v>
      </c>
      <c r="I25" s="12" t="n">
        <f aca="false">H25-G25</f>
        <v>225.923282455532</v>
      </c>
      <c r="J25" s="13" t="n">
        <f aca="false">IF(G25=0,"",I25/G25)</f>
        <v>0.332805925913745</v>
      </c>
    </row>
    <row r="26" customFormat="false" ht="15" hidden="false" customHeight="false" outlineLevel="0" collapsed="false">
      <c r="A26" s="3" t="n">
        <v>2641</v>
      </c>
      <c r="B26" s="3" t="n">
        <v>224252</v>
      </c>
      <c r="C26" s="18" t="n">
        <v>250</v>
      </c>
      <c r="D26" s="18" t="n">
        <v>250</v>
      </c>
      <c r="E26" s="19" t="n">
        <v>318.851109313965</v>
      </c>
      <c r="F26" s="19" t="n">
        <v>338.737766021729</v>
      </c>
      <c r="G26" s="12" t="n">
        <f aca="false">E26/Combined_Summary!$B$23</f>
        <v>1275.40443725586</v>
      </c>
      <c r="H26" s="12" t="n">
        <f aca="false">F26/Combined_Summary!$B$23</f>
        <v>1354.95106408691</v>
      </c>
      <c r="I26" s="12" t="n">
        <f aca="false">H26-G26</f>
        <v>79.5466268310543</v>
      </c>
      <c r="J26" s="13" t="n">
        <f aca="false">IF(G26=0,"",I26/G26)</f>
        <v>0.0623697272076343</v>
      </c>
    </row>
    <row r="27" customFormat="false" ht="15" hidden="false" customHeight="false" outlineLevel="0" collapsed="false">
      <c r="A27" s="3" t="n">
        <v>2642</v>
      </c>
      <c r="B27" s="3" t="n">
        <v>230622</v>
      </c>
      <c r="C27" s="18" t="n">
        <v>113</v>
      </c>
      <c r="D27" s="18" t="n">
        <v>113</v>
      </c>
      <c r="E27" s="19" t="n">
        <v>191.213041727522</v>
      </c>
      <c r="F27" s="19" t="n">
        <v>254.255797124542</v>
      </c>
      <c r="G27" s="12" t="n">
        <f aca="false">E27/Combined_Summary!$B$23</f>
        <v>764.852166910087</v>
      </c>
      <c r="H27" s="12" t="n">
        <f aca="false">F27/Combined_Summary!$B$23</f>
        <v>1017.02318849817</v>
      </c>
      <c r="I27" s="12" t="n">
        <f aca="false">H27-G27</f>
        <v>252.171021588081</v>
      </c>
      <c r="J27" s="13" t="n">
        <f aca="false">IF(G27=0,"",I27/G27)</f>
        <v>0.329699035314003</v>
      </c>
    </row>
    <row r="28" customFormat="false" ht="15" hidden="false" customHeight="false" outlineLevel="0" collapsed="false">
      <c r="A28" s="3" t="n">
        <v>2643</v>
      </c>
      <c r="B28" s="3" t="n">
        <v>224080</v>
      </c>
      <c r="C28" s="18" t="n">
        <v>833</v>
      </c>
      <c r="D28" s="18" t="n">
        <v>833</v>
      </c>
      <c r="E28" s="19" t="n">
        <v>326.157548544931</v>
      </c>
      <c r="F28" s="19" t="n">
        <v>355.373706913796</v>
      </c>
      <c r="G28" s="12" t="n">
        <f aca="false">E28/Combined_Summary!$B$23</f>
        <v>1304.63019417972</v>
      </c>
      <c r="H28" s="12" t="n">
        <f aca="false">F28/Combined_Summary!$B$23</f>
        <v>1421.49482765518</v>
      </c>
      <c r="I28" s="12" t="n">
        <f aca="false">H28-G28</f>
        <v>116.864633475461</v>
      </c>
      <c r="J28" s="13" t="n">
        <f aca="false">IF(G28=0,"",I28/G28)</f>
        <v>0.0895768272088311</v>
      </c>
    </row>
    <row r="29" customFormat="false" ht="15" hidden="false" customHeight="false" outlineLevel="0" collapsed="false">
      <c r="A29" s="3" t="n">
        <v>2648</v>
      </c>
      <c r="B29" s="3" t="n">
        <v>224156</v>
      </c>
      <c r="C29" s="18" t="n">
        <v>643</v>
      </c>
      <c r="D29" s="18" t="n">
        <v>643</v>
      </c>
      <c r="E29" s="19" t="n">
        <v>357.901633866282</v>
      </c>
      <c r="F29" s="19" t="n">
        <v>393.565170193164</v>
      </c>
      <c r="G29" s="12" t="n">
        <f aca="false">E29/Combined_Summary!$B$23</f>
        <v>1431.60653546513</v>
      </c>
      <c r="H29" s="12" t="n">
        <f aca="false">F29/Combined_Summary!$B$23</f>
        <v>1574.26068077265</v>
      </c>
      <c r="I29" s="12" t="n">
        <f aca="false">H29-G29</f>
        <v>142.654145307527</v>
      </c>
      <c r="J29" s="13" t="n">
        <f aca="false">IF(G29=0,"",I29/G29)</f>
        <v>0.0996461959159598</v>
      </c>
    </row>
    <row r="30" customFormat="false" ht="15" hidden="false" customHeight="false" outlineLevel="0" collapsed="false">
      <c r="A30" s="3" t="n">
        <v>2656</v>
      </c>
      <c r="B30" s="3" t="n">
        <v>224153</v>
      </c>
      <c r="C30" s="18" t="n">
        <v>902</v>
      </c>
      <c r="D30" s="18" t="n">
        <v>902</v>
      </c>
      <c r="E30" s="19" t="n">
        <v>281.834425002138</v>
      </c>
      <c r="F30" s="19" t="n">
        <v>308.098126396636</v>
      </c>
      <c r="G30" s="12" t="n">
        <f aca="false">E30/Combined_Summary!$B$23</f>
        <v>1127.33770000855</v>
      </c>
      <c r="H30" s="12" t="n">
        <f aca="false">F30/Combined_Summary!$B$23</f>
        <v>1232.39250558654</v>
      </c>
      <c r="I30" s="12" t="n">
        <f aca="false">H30-G30</f>
        <v>105.054805577991</v>
      </c>
      <c r="J30" s="13" t="n">
        <f aca="false">IF(G30=0,"",I30/G30)</f>
        <v>0.0931884080317676</v>
      </c>
    </row>
    <row r="31" customFormat="false" ht="15" hidden="false" customHeight="false" outlineLevel="0" collapsed="false">
      <c r="A31" s="3" t="n">
        <v>2663</v>
      </c>
      <c r="B31" s="3" t="n">
        <v>224189</v>
      </c>
      <c r="C31" s="18" t="n">
        <v>540</v>
      </c>
      <c r="D31" s="18" t="n">
        <v>540</v>
      </c>
      <c r="E31" s="19" t="n">
        <v>160.139863932574</v>
      </c>
      <c r="F31" s="19" t="n">
        <v>200.464738210042</v>
      </c>
      <c r="G31" s="12" t="n">
        <f aca="false">E31/Combined_Summary!$B$23</f>
        <v>640.559455730297</v>
      </c>
      <c r="H31" s="12" t="n">
        <f aca="false">F31/Combined_Summary!$B$23</f>
        <v>801.858952840169</v>
      </c>
      <c r="I31" s="12" t="n">
        <f aca="false">H31-G31</f>
        <v>161.299497109872</v>
      </c>
      <c r="J31" s="13" t="n">
        <f aca="false">IF(G31=0,"",I31/G31)</f>
        <v>0.251810344327797</v>
      </c>
    </row>
    <row r="32" customFormat="false" ht="15" hidden="false" customHeight="false" outlineLevel="0" collapsed="false">
      <c r="A32" s="3" t="n">
        <v>2664</v>
      </c>
      <c r="B32" s="3" t="n">
        <v>224176</v>
      </c>
      <c r="C32" s="18" t="n">
        <v>501</v>
      </c>
      <c r="D32" s="18" t="n">
        <v>501</v>
      </c>
      <c r="E32" s="19" t="n">
        <v>302.008126637655</v>
      </c>
      <c r="F32" s="19" t="n">
        <v>332.045553241661</v>
      </c>
      <c r="G32" s="12" t="n">
        <f aca="false">E32/Combined_Summary!$B$23</f>
        <v>1208.03250655062</v>
      </c>
      <c r="H32" s="12" t="n">
        <f aca="false">F32/Combined_Summary!$B$23</f>
        <v>1328.18221296664</v>
      </c>
      <c r="I32" s="12" t="n">
        <f aca="false">H32-G32</f>
        <v>120.149706416025</v>
      </c>
      <c r="J32" s="13" t="n">
        <f aca="false">IF(G32=0,"",I32/G32)</f>
        <v>0.099459001115042</v>
      </c>
    </row>
    <row r="33" customFormat="false" ht="15" hidden="false" customHeight="false" outlineLevel="0" collapsed="false">
      <c r="A33" s="3" t="n">
        <v>2687</v>
      </c>
      <c r="B33" s="3" t="n">
        <v>224311</v>
      </c>
      <c r="C33" s="18" t="n">
        <v>520</v>
      </c>
      <c r="D33" s="18" t="n">
        <v>520</v>
      </c>
      <c r="E33" s="19" t="n">
        <v>258.599601085369</v>
      </c>
      <c r="F33" s="19" t="n">
        <v>296.325976225046</v>
      </c>
      <c r="G33" s="12" t="n">
        <f aca="false">E33/Combined_Summary!$B$23</f>
        <v>1034.39840434148</v>
      </c>
      <c r="H33" s="12" t="n">
        <f aca="false">F33/Combined_Summary!$B$23</f>
        <v>1185.30390490018</v>
      </c>
      <c r="I33" s="12" t="n">
        <f aca="false">H33-G33</f>
        <v>150.905500558707</v>
      </c>
      <c r="J33" s="13" t="n">
        <f aca="false">IF(G33=0,"",I33/G33)</f>
        <v>0.145887213210442</v>
      </c>
    </row>
    <row r="34" customFormat="false" ht="15" hidden="false" customHeight="false" outlineLevel="0" collapsed="false">
      <c r="A34" s="3" t="n">
        <v>7189</v>
      </c>
      <c r="B34" s="3" t="n">
        <v>232127</v>
      </c>
      <c r="C34" s="18" t="n">
        <v>564</v>
      </c>
      <c r="D34" s="18" t="n">
        <v>564</v>
      </c>
      <c r="E34" s="19" t="n">
        <v>346.60337616535</v>
      </c>
      <c r="F34" s="19" t="n">
        <v>372.913632102046</v>
      </c>
      <c r="G34" s="12" t="n">
        <f aca="false">E34/Combined_Summary!$B$23</f>
        <v>1386.4135046614</v>
      </c>
      <c r="H34" s="12" t="n">
        <f aca="false">F34/Combined_Summary!$B$23</f>
        <v>1491.65452840819</v>
      </c>
      <c r="I34" s="12" t="n">
        <f aca="false">H34-G34</f>
        <v>105.241023746788</v>
      </c>
      <c r="J34" s="13" t="n">
        <f aca="false">IF(G34=0,"",I34/G34)</f>
        <v>0.0759088276282265</v>
      </c>
    </row>
    <row r="35" customFormat="false" ht="15" hidden="false" customHeight="false" outlineLevel="0" collapsed="false">
      <c r="A35" s="3" t="n">
        <v>7191</v>
      </c>
      <c r="B35" s="3" t="n">
        <v>223997</v>
      </c>
      <c r="C35" s="18" t="n">
        <v>958</v>
      </c>
      <c r="D35" s="18" t="n">
        <v>958</v>
      </c>
      <c r="E35" s="19" t="n">
        <v>342.26726194314</v>
      </c>
      <c r="F35" s="19" t="n">
        <v>366.926853657764</v>
      </c>
      <c r="G35" s="12" t="n">
        <f aca="false">E35/Combined_Summary!$B$23</f>
        <v>1369.06904777256</v>
      </c>
      <c r="H35" s="12" t="n">
        <f aca="false">F35/Combined_Summary!$B$23</f>
        <v>1467.70741463106</v>
      </c>
      <c r="I35" s="12" t="n">
        <f aca="false">H35-G35</f>
        <v>98.6383668584963</v>
      </c>
      <c r="J35" s="13" t="n">
        <f aca="false">IF(G35=0,"",I35/G35)</f>
        <v>0.0720477663409149</v>
      </c>
    </row>
    <row r="36" customFormat="false" ht="15" hidden="false" customHeight="false" outlineLevel="0" collapsed="false">
      <c r="A36" s="3" t="n">
        <v>7204</v>
      </c>
      <c r="B36" s="3" t="n">
        <v>645396</v>
      </c>
      <c r="C36" s="18" t="n">
        <v>16</v>
      </c>
      <c r="D36" s="18" t="n">
        <v>16</v>
      </c>
      <c r="E36" s="19" t="n">
        <v>323.59680557251</v>
      </c>
      <c r="F36" s="19" t="n">
        <v>341.728395462036</v>
      </c>
      <c r="G36" s="12" t="n">
        <f aca="false">E36/Combined_Summary!$B$23</f>
        <v>1294.38722229004</v>
      </c>
      <c r="H36" s="12" t="n">
        <f aca="false">F36/Combined_Summary!$B$23</f>
        <v>1366.91358184814</v>
      </c>
      <c r="I36" s="12" t="n">
        <f aca="false">H36-G36</f>
        <v>72.526359558105</v>
      </c>
      <c r="J36" s="13" t="n">
        <f aca="false">IF(G36=0,"",I36/G36)</f>
        <v>0.0560314242207914</v>
      </c>
    </row>
    <row r="37" customFormat="false" ht="15" hidden="false" customHeight="false" outlineLevel="0" collapsed="false">
      <c r="A37" s="3" t="n">
        <v>7205</v>
      </c>
      <c r="B37" s="3" t="n">
        <v>224028</v>
      </c>
      <c r="C37" s="18" t="n">
        <v>466</v>
      </c>
      <c r="D37" s="18" t="n">
        <v>466</v>
      </c>
      <c r="E37" s="19" t="n">
        <v>350.459292579618</v>
      </c>
      <c r="F37" s="19" t="n">
        <v>382.229261995897</v>
      </c>
      <c r="G37" s="12" t="n">
        <f aca="false">E37/Combined_Summary!$B$23</f>
        <v>1401.83717031847</v>
      </c>
      <c r="H37" s="12" t="n">
        <f aca="false">F37/Combined_Summary!$B$23</f>
        <v>1528.91704798359</v>
      </c>
      <c r="I37" s="12" t="n">
        <f aca="false">H37-G37</f>
        <v>127.079877665115</v>
      </c>
      <c r="J37" s="13" t="n">
        <f aca="false">IF(G37=0,"",I37/G37)</f>
        <v>0.0906523812863692</v>
      </c>
    </row>
    <row r="38" customFormat="false" ht="15" hidden="false" customHeight="false" outlineLevel="0" collapsed="false">
      <c r="A38" s="3" t="n">
        <v>7206</v>
      </c>
      <c r="B38" s="3" t="n">
        <v>223899</v>
      </c>
      <c r="C38" s="18" t="n">
        <v>600</v>
      </c>
      <c r="D38" s="18" t="n">
        <v>600</v>
      </c>
      <c r="E38" s="19" t="n">
        <v>312.304976374308</v>
      </c>
      <c r="F38" s="19" t="n">
        <v>342.568188273112</v>
      </c>
      <c r="G38" s="12" t="n">
        <f aca="false">E38/Combined_Summary!$B$23</f>
        <v>1249.21990549723</v>
      </c>
      <c r="H38" s="12" t="n">
        <f aca="false">F38/Combined_Summary!$B$23</f>
        <v>1370.27275309245</v>
      </c>
      <c r="I38" s="12" t="n">
        <f aca="false">H38-G38</f>
        <v>121.052847595215</v>
      </c>
      <c r="J38" s="13" t="n">
        <f aca="false">IF(G38=0,"",I38/G38)</f>
        <v>0.0969027527199317</v>
      </c>
    </row>
    <row r="39" customFormat="false" ht="15" hidden="false" customHeight="false" outlineLevel="0" collapsed="false">
      <c r="A39" s="3" t="n">
        <v>7216</v>
      </c>
      <c r="B39" s="3" t="n">
        <v>649551</v>
      </c>
      <c r="C39" s="18" t="n">
        <v>16</v>
      </c>
      <c r="D39" s="18" t="n">
        <v>16</v>
      </c>
      <c r="E39" s="19" t="n">
        <v>332.635478973389</v>
      </c>
      <c r="F39" s="19" t="n">
        <v>350.472085952759</v>
      </c>
      <c r="G39" s="12" t="n">
        <f aca="false">E39/Combined_Summary!$B$23</f>
        <v>1330.54191589355</v>
      </c>
      <c r="H39" s="12" t="n">
        <f aca="false">F39/Combined_Summary!$B$23</f>
        <v>1401.88834381104</v>
      </c>
      <c r="I39" s="12" t="n">
        <f aca="false">H39-G39</f>
        <v>71.3464279174805</v>
      </c>
      <c r="J39" s="13" t="n">
        <f aca="false">IF(G39=0,"",I39/G39)</f>
        <v>0.0536220821495625</v>
      </c>
    </row>
    <row r="40" customFormat="false" ht="15" hidden="false" customHeight="false" outlineLevel="0" collapsed="false">
      <c r="A40" s="3" t="n">
        <v>7217</v>
      </c>
      <c r="B40" s="3" t="n">
        <v>649554</v>
      </c>
      <c r="C40" s="18" t="n">
        <v>16</v>
      </c>
      <c r="D40" s="18" t="n">
        <v>16</v>
      </c>
      <c r="E40" s="19" t="n">
        <v>354.802171707153</v>
      </c>
      <c r="F40" s="19" t="n">
        <v>376.944742202759</v>
      </c>
      <c r="G40" s="12" t="n">
        <f aca="false">E40/Combined_Summary!$B$23</f>
        <v>1419.20868682861</v>
      </c>
      <c r="H40" s="12" t="n">
        <f aca="false">F40/Combined_Summary!$B$23</f>
        <v>1507.77896881104</v>
      </c>
      <c r="I40" s="12" t="n">
        <f aca="false">H40-G40</f>
        <v>88.5702819824219</v>
      </c>
      <c r="J40" s="13" t="n">
        <f aca="false">IF(G40=0,"",I40/G40)</f>
        <v>0.0624082157926629</v>
      </c>
    </row>
    <row r="41" customFormat="false" ht="15" hidden="false" customHeight="false" outlineLevel="0" collapsed="false">
      <c r="A41" s="3" t="n">
        <v>7237</v>
      </c>
      <c r="B41" s="3" t="n">
        <v>232130</v>
      </c>
      <c r="C41" s="18" t="n">
        <v>657</v>
      </c>
      <c r="D41" s="18" t="n">
        <v>657</v>
      </c>
      <c r="E41" s="19" t="n">
        <v>345.232110956851</v>
      </c>
      <c r="F41" s="19" t="n">
        <v>370.958276501892</v>
      </c>
      <c r="G41" s="12" t="n">
        <f aca="false">E41/Combined_Summary!$B$23</f>
        <v>1380.9284438274</v>
      </c>
      <c r="H41" s="12" t="n">
        <f aca="false">F41/Combined_Summary!$B$23</f>
        <v>1483.83310600757</v>
      </c>
      <c r="I41" s="12" t="n">
        <f aca="false">H41-G41</f>
        <v>102.904662180165</v>
      </c>
      <c r="J41" s="13" t="n">
        <f aca="false">IF(G41=0,"",I41/G41)</f>
        <v>0.074518460851565</v>
      </c>
    </row>
    <row r="42" customFormat="false" ht="15" hidden="false" customHeight="false" outlineLevel="0" collapsed="false">
      <c r="A42" s="3" t="n">
        <v>7238</v>
      </c>
      <c r="B42" s="3" t="n">
        <v>224036</v>
      </c>
      <c r="C42" s="18" t="n">
        <v>709</v>
      </c>
      <c r="D42" s="18" t="n">
        <v>709</v>
      </c>
      <c r="E42" s="19" t="n">
        <v>344.943366191956</v>
      </c>
      <c r="F42" s="19" t="n">
        <v>373.090611671695</v>
      </c>
      <c r="G42" s="12" t="n">
        <f aca="false">E42/Combined_Summary!$B$23</f>
        <v>1379.77346476782</v>
      </c>
      <c r="H42" s="12" t="n">
        <f aca="false">F42/Combined_Summary!$B$23</f>
        <v>1492.36244668678</v>
      </c>
      <c r="I42" s="12" t="n">
        <f aca="false">H42-G42</f>
        <v>112.588981918959</v>
      </c>
      <c r="J42" s="13" t="n">
        <f aca="false">IF(G42=0,"",I42/G42)</f>
        <v>0.081599613845237</v>
      </c>
    </row>
    <row r="43" customFormat="false" ht="15" hidden="false" customHeight="false" outlineLevel="0" collapsed="false">
      <c r="A43" s="3" t="n">
        <v>7239</v>
      </c>
      <c r="B43" s="3" t="n">
        <v>224035</v>
      </c>
      <c r="C43" s="18" t="n">
        <v>570</v>
      </c>
      <c r="D43" s="18" t="n">
        <v>570</v>
      </c>
      <c r="E43" s="19" t="n">
        <v>338.799891421669</v>
      </c>
      <c r="F43" s="19" t="n">
        <v>366.734349956847</v>
      </c>
      <c r="G43" s="12" t="n">
        <f aca="false">E43/Combined_Summary!$B$23</f>
        <v>1355.19956568668</v>
      </c>
      <c r="H43" s="12" t="n">
        <f aca="false">F43/Combined_Summary!$B$23</f>
        <v>1466.93739982739</v>
      </c>
      <c r="I43" s="12" t="n">
        <f aca="false">H43-G43</f>
        <v>111.737834140711</v>
      </c>
      <c r="J43" s="13" t="n">
        <f aca="false">IF(G43=0,"",I43/G43)</f>
        <v>0.0824512027378739</v>
      </c>
    </row>
    <row r="44" customFormat="false" ht="15" hidden="false" customHeight="false" outlineLevel="0" collapsed="false">
      <c r="A44" s="3" t="n">
        <v>7240</v>
      </c>
      <c r="B44" s="3" t="n">
        <v>649944</v>
      </c>
      <c r="C44" s="18" t="n">
        <v>16</v>
      </c>
      <c r="D44" s="18" t="n">
        <v>16</v>
      </c>
      <c r="E44" s="19" t="n">
        <v>296.051763534546</v>
      </c>
      <c r="F44" s="19" t="n">
        <v>324.306478500366</v>
      </c>
      <c r="G44" s="12" t="n">
        <f aca="false">E44/Combined_Summary!$B$23</f>
        <v>1184.20705413818</v>
      </c>
      <c r="H44" s="12" t="n">
        <f aca="false">F44/Combined_Summary!$B$23</f>
        <v>1297.22591400146</v>
      </c>
      <c r="I44" s="12" t="n">
        <f aca="false">H44-G44</f>
        <v>113.018859863281</v>
      </c>
      <c r="J44" s="13" t="n">
        <f aca="false">IF(G44=0,"",I44/G44)</f>
        <v>0.0954384281602947</v>
      </c>
    </row>
    <row r="45" customFormat="false" ht="15" hidden="false" customHeight="false" outlineLevel="0" collapsed="false">
      <c r="A45" s="3" t="n">
        <v>7241</v>
      </c>
      <c r="B45" s="3" t="n">
        <v>232090</v>
      </c>
      <c r="C45" s="18" t="n">
        <v>972</v>
      </c>
      <c r="D45" s="18" t="n">
        <v>972</v>
      </c>
      <c r="E45" s="19" t="n">
        <v>320.57514297815</v>
      </c>
      <c r="F45" s="19" t="n">
        <v>355.577735736046</v>
      </c>
      <c r="G45" s="12" t="n">
        <f aca="false">E45/Combined_Summary!$B$23</f>
        <v>1282.3005719126</v>
      </c>
      <c r="H45" s="12" t="n">
        <f aca="false">F45/Combined_Summary!$B$23</f>
        <v>1422.31094294419</v>
      </c>
      <c r="I45" s="12" t="n">
        <f aca="false">H45-G45</f>
        <v>140.010371031584</v>
      </c>
      <c r="J45" s="13" t="n">
        <f aca="false">IF(G45=0,"",I45/G45)</f>
        <v>0.109186858446732</v>
      </c>
    </row>
    <row r="46" customFormat="false" ht="15" hidden="false" customHeight="false" outlineLevel="0" collapsed="false">
      <c r="A46" s="3" t="n">
        <v>7242</v>
      </c>
      <c r="B46" s="3" t="n">
        <v>223315</v>
      </c>
      <c r="C46" s="18" t="n">
        <v>708</v>
      </c>
      <c r="D46" s="18" t="n">
        <v>708</v>
      </c>
      <c r="E46" s="19" t="n">
        <v>323.366297754191</v>
      </c>
      <c r="F46" s="19" t="n">
        <v>345.53483114943</v>
      </c>
      <c r="G46" s="12" t="n">
        <f aca="false">E46/Combined_Summary!$B$23</f>
        <v>1293.46519101676</v>
      </c>
      <c r="H46" s="12" t="n">
        <f aca="false">F46/Combined_Summary!$B$23</f>
        <v>1382.13932459772</v>
      </c>
      <c r="I46" s="12" t="n">
        <f aca="false">H46-G46</f>
        <v>88.6741335809568</v>
      </c>
      <c r="J46" s="13" t="n">
        <f aca="false">IF(G46=0,"",I46/G46)</f>
        <v>0.0685554850619924</v>
      </c>
    </row>
    <row r="47" customFormat="false" ht="15" hidden="false" customHeight="false" outlineLevel="0" collapsed="false">
      <c r="A47" s="3" t="n">
        <v>7259</v>
      </c>
      <c r="B47" s="3" t="n">
        <v>224094</v>
      </c>
      <c r="C47" s="18" t="n">
        <v>152</v>
      </c>
      <c r="D47" s="18" t="n">
        <v>152</v>
      </c>
      <c r="E47" s="19" t="n">
        <v>352.733254733839</v>
      </c>
      <c r="F47" s="19" t="n">
        <v>383.107533103541</v>
      </c>
      <c r="G47" s="12" t="n">
        <f aca="false">E47/Combined_Summary!$B$23</f>
        <v>1410.93301893535</v>
      </c>
      <c r="H47" s="12" t="n">
        <f aca="false">F47/Combined_Summary!$B$23</f>
        <v>1532.43013241417</v>
      </c>
      <c r="I47" s="12" t="n">
        <f aca="false">H47-G47</f>
        <v>121.497113478811</v>
      </c>
      <c r="J47" s="13" t="n">
        <f aca="false">IF(G47=0,"",I47/G47)</f>
        <v>0.0861111844774099</v>
      </c>
    </row>
    <row r="48" customFormat="false" ht="15" hidden="false" customHeight="false" outlineLevel="0" collapsed="false">
      <c r="A48" s="3" t="n">
        <v>7260</v>
      </c>
      <c r="B48" s="3" t="n">
        <v>224074</v>
      </c>
      <c r="C48" s="18" t="n">
        <v>587</v>
      </c>
      <c r="D48" s="18" t="n">
        <v>587</v>
      </c>
      <c r="E48" s="19" t="n">
        <v>338.164012967423</v>
      </c>
      <c r="F48" s="19" t="n">
        <v>369.674385304752</v>
      </c>
      <c r="G48" s="12" t="n">
        <f aca="false">E48/Combined_Summary!$B$23</f>
        <v>1352.65605186969</v>
      </c>
      <c r="H48" s="12" t="n">
        <f aca="false">F48/Combined_Summary!$B$23</f>
        <v>1478.69754121901</v>
      </c>
      <c r="I48" s="12" t="n">
        <f aca="false">H48-G48</f>
        <v>126.041489349313</v>
      </c>
      <c r="J48" s="13" t="n">
        <f aca="false">IF(G48=0,"",I48/G48)</f>
        <v>0.0931807381300619</v>
      </c>
    </row>
    <row r="49" customFormat="false" ht="15" hidden="false" customHeight="false" outlineLevel="0" collapsed="false">
      <c r="A49" s="3" t="n">
        <v>7261</v>
      </c>
      <c r="B49" s="3" t="n">
        <v>232123</v>
      </c>
      <c r="C49" s="18" t="n">
        <v>664</v>
      </c>
      <c r="D49" s="18" t="n">
        <v>664</v>
      </c>
      <c r="E49" s="19" t="n">
        <v>329.600846376764</v>
      </c>
      <c r="F49" s="19" t="n">
        <v>350.068692540548</v>
      </c>
      <c r="G49" s="12" t="n">
        <f aca="false">E49/Combined_Summary!$B$23</f>
        <v>1318.40338550705</v>
      </c>
      <c r="H49" s="12" t="n">
        <f aca="false">F49/Combined_Summary!$B$23</f>
        <v>1400.27477016219</v>
      </c>
      <c r="I49" s="12" t="n">
        <f aca="false">H49-G49</f>
        <v>81.8713846551368</v>
      </c>
      <c r="J49" s="13" t="n">
        <f aca="false">IF(G49=0,"",I49/G49)</f>
        <v>0.0620988883638593</v>
      </c>
    </row>
    <row r="50" customFormat="false" ht="15" hidden="false" customHeight="false" outlineLevel="0" collapsed="false">
      <c r="A50" s="3" t="n">
        <v>7272</v>
      </c>
      <c r="B50" s="3" t="n">
        <v>232134</v>
      </c>
      <c r="C50" s="18" t="n">
        <v>661</v>
      </c>
      <c r="D50" s="18" t="n">
        <v>661</v>
      </c>
      <c r="E50" s="19" t="n">
        <v>313.454358220641</v>
      </c>
      <c r="F50" s="19" t="n">
        <v>342.029325626622</v>
      </c>
      <c r="G50" s="12" t="n">
        <f aca="false">E50/Combined_Summary!$B$23</f>
        <v>1253.81743288257</v>
      </c>
      <c r="H50" s="12" t="n">
        <f aca="false">F50/Combined_Summary!$B$23</f>
        <v>1368.11730250649</v>
      </c>
      <c r="I50" s="12" t="n">
        <f aca="false">H50-G50</f>
        <v>114.299869623921</v>
      </c>
      <c r="J50" s="13" t="n">
        <f aca="false">IF(G50=0,"",I50/G50)</f>
        <v>0.0911614933931343</v>
      </c>
    </row>
    <row r="51" customFormat="false" ht="15" hidden="false" customHeight="false" outlineLevel="0" collapsed="false">
      <c r="A51" s="3" t="n">
        <v>7273</v>
      </c>
      <c r="B51" s="3" t="n">
        <v>224100</v>
      </c>
      <c r="C51" s="18" t="n">
        <v>1001</v>
      </c>
      <c r="D51" s="18" t="n">
        <v>1001</v>
      </c>
      <c r="E51" s="19" t="n">
        <v>338.932794420393</v>
      </c>
      <c r="F51" s="19" t="n">
        <v>372.778667987286</v>
      </c>
      <c r="G51" s="12" t="n">
        <f aca="false">E51/Combined_Summary!$B$23</f>
        <v>1355.73117768157</v>
      </c>
      <c r="H51" s="12" t="n">
        <f aca="false">F51/Combined_Summary!$B$23</f>
        <v>1491.11467194914</v>
      </c>
      <c r="I51" s="12" t="n">
        <f aca="false">H51-G51</f>
        <v>135.383494267574</v>
      </c>
      <c r="J51" s="13" t="n">
        <f aca="false">IF(G51=0,"",I51/G51)</f>
        <v>0.0998601319319751</v>
      </c>
    </row>
    <row r="52" customFormat="false" ht="15" hidden="false" customHeight="false" outlineLevel="0" collapsed="false">
      <c r="A52" s="3" t="n">
        <v>7274</v>
      </c>
      <c r="B52" s="3" t="n">
        <v>224011</v>
      </c>
      <c r="C52" s="18" t="n">
        <v>645</v>
      </c>
      <c r="D52" s="18" t="n">
        <v>645</v>
      </c>
      <c r="E52" s="19" t="n">
        <v>319.676114193229</v>
      </c>
      <c r="F52" s="19" t="n">
        <v>346.568757310025</v>
      </c>
      <c r="G52" s="12" t="n">
        <f aca="false">E52/Combined_Summary!$B$23</f>
        <v>1278.70445677292</v>
      </c>
      <c r="H52" s="12" t="n">
        <f aca="false">F52/Combined_Summary!$B$23</f>
        <v>1386.2750292401</v>
      </c>
      <c r="I52" s="12" t="n">
        <f aca="false">H52-G52</f>
        <v>107.570572467183</v>
      </c>
      <c r="J52" s="13" t="n">
        <f aca="false">IF(G52=0,"",I52/G52)</f>
        <v>0.0841246559339133</v>
      </c>
    </row>
    <row r="53" customFormat="false" ht="15" hidden="false" customHeight="false" outlineLevel="0" collapsed="false">
      <c r="A53" s="3" t="n">
        <v>7288</v>
      </c>
      <c r="B53" s="3" t="n">
        <v>224041</v>
      </c>
      <c r="C53" s="18" t="n">
        <v>745</v>
      </c>
      <c r="D53" s="18" t="n">
        <v>745</v>
      </c>
      <c r="E53" s="19" t="n">
        <v>326.474781302638</v>
      </c>
      <c r="F53" s="19" t="n">
        <v>351.588880674631</v>
      </c>
      <c r="G53" s="12" t="n">
        <f aca="false">E53/Combined_Summary!$B$23</f>
        <v>1305.89912521055</v>
      </c>
      <c r="H53" s="12" t="n">
        <f aca="false">F53/Combined_Summary!$B$23</f>
        <v>1406.35552269852</v>
      </c>
      <c r="I53" s="12" t="n">
        <f aca="false">H53-G53</f>
        <v>100.456397487973</v>
      </c>
      <c r="J53" s="13" t="n">
        <f aca="false">IF(G53=0,"",I53/G53)</f>
        <v>0.076925082151178</v>
      </c>
    </row>
    <row r="54" customFormat="false" ht="15" hidden="false" customHeight="false" outlineLevel="0" collapsed="false">
      <c r="A54" s="3" t="n">
        <v>7289</v>
      </c>
      <c r="B54" s="3" t="n">
        <v>223898</v>
      </c>
      <c r="C54" s="18" t="n">
        <v>1043</v>
      </c>
      <c r="D54" s="18" t="n">
        <v>1043</v>
      </c>
      <c r="E54" s="19" t="n">
        <v>251.270771692263</v>
      </c>
      <c r="F54" s="19" t="n">
        <v>307.129498511924</v>
      </c>
      <c r="G54" s="12" t="n">
        <f aca="false">E54/Combined_Summary!$B$23</f>
        <v>1005.08308676905</v>
      </c>
      <c r="H54" s="12" t="n">
        <f aca="false">F54/Combined_Summary!$B$23</f>
        <v>1228.5179940477</v>
      </c>
      <c r="I54" s="12" t="n">
        <f aca="false">H54-G54</f>
        <v>223.434907278644</v>
      </c>
      <c r="J54" s="13" t="n">
        <f aca="false">IF(G54=0,"",I54/G54)</f>
        <v>0.222304912121146</v>
      </c>
    </row>
    <row r="55" customFormat="false" ht="15" hidden="false" customHeight="false" outlineLevel="0" collapsed="false">
      <c r="A55" s="3" t="n">
        <v>7290</v>
      </c>
      <c r="B55" s="3" t="n">
        <v>232106</v>
      </c>
      <c r="C55" s="18" t="n">
        <v>869</v>
      </c>
      <c r="D55" s="18" t="n">
        <v>869</v>
      </c>
      <c r="E55" s="19" t="n">
        <v>333.703362108237</v>
      </c>
      <c r="F55" s="19" t="n">
        <v>359.878705322125</v>
      </c>
      <c r="G55" s="12" t="n">
        <f aca="false">E55/Combined_Summary!$B$23</f>
        <v>1334.81344843295</v>
      </c>
      <c r="H55" s="12" t="n">
        <f aca="false">F55/Combined_Summary!$B$23</f>
        <v>1439.5148212885</v>
      </c>
      <c r="I55" s="12" t="n">
        <f aca="false">H55-G55</f>
        <v>104.701372855552</v>
      </c>
      <c r="J55" s="13" t="n">
        <f aca="false">IF(G55=0,"",I55/G55)</f>
        <v>0.0784389556296946</v>
      </c>
    </row>
    <row r="56" customFormat="false" ht="15" hidden="false" customHeight="false" outlineLevel="0" collapsed="false">
      <c r="A56" s="3" t="n">
        <v>7312</v>
      </c>
      <c r="B56" s="3" t="n">
        <v>224111</v>
      </c>
      <c r="C56" s="18" t="n">
        <v>729</v>
      </c>
      <c r="D56" s="18" t="n">
        <v>729</v>
      </c>
      <c r="E56" s="19" t="n">
        <v>345.320133439471</v>
      </c>
      <c r="F56" s="19" t="n">
        <v>370.053960949305</v>
      </c>
      <c r="G56" s="12" t="n">
        <f aca="false">E56/Combined_Summary!$B$23</f>
        <v>1381.28053375788</v>
      </c>
      <c r="H56" s="12" t="n">
        <f aca="false">F56/Combined_Summary!$B$23</f>
        <v>1480.21584379722</v>
      </c>
      <c r="I56" s="12" t="n">
        <f aca="false">H56-G56</f>
        <v>98.9353100393371</v>
      </c>
      <c r="J56" s="13" t="n">
        <f aca="false">IF(G56=0,"",I56/G56)</f>
        <v>0.0716257904324299</v>
      </c>
    </row>
    <row r="57" customFormat="false" ht="15" hidden="false" customHeight="false" outlineLevel="0" collapsed="false">
      <c r="A57" s="3" t="n">
        <v>7313</v>
      </c>
      <c r="B57" s="3" t="n">
        <v>224103</v>
      </c>
      <c r="C57" s="18" t="n">
        <v>656</v>
      </c>
      <c r="D57" s="18" t="n">
        <v>656</v>
      </c>
      <c r="E57" s="19" t="n">
        <v>327.477000567971</v>
      </c>
      <c r="F57" s="19" t="n">
        <v>344.634917061503</v>
      </c>
      <c r="G57" s="12" t="n">
        <f aca="false">E57/Combined_Summary!$B$23</f>
        <v>1309.90800227188</v>
      </c>
      <c r="H57" s="12" t="n">
        <f aca="false">F57/Combined_Summary!$B$23</f>
        <v>1378.53966824601</v>
      </c>
      <c r="I57" s="12" t="n">
        <f aca="false">H57-G57</f>
        <v>68.631665974129</v>
      </c>
      <c r="J57" s="13" t="n">
        <f aca="false">IF(G57=0,"",I57/G57)</f>
        <v>0.0523942642193919</v>
      </c>
    </row>
    <row r="58" customFormat="false" ht="15" hidden="false" customHeight="false" outlineLevel="0" collapsed="false">
      <c r="A58" s="3" t="n">
        <v>7323</v>
      </c>
      <c r="B58" s="3" t="n">
        <v>223982</v>
      </c>
      <c r="C58" s="18" t="n">
        <v>517</v>
      </c>
      <c r="D58" s="18" t="n">
        <v>517</v>
      </c>
      <c r="E58" s="19" t="n">
        <v>190.782206315828</v>
      </c>
      <c r="F58" s="19" t="n">
        <v>226.952687438729</v>
      </c>
      <c r="G58" s="12" t="n">
        <f aca="false">E58/Combined_Summary!$B$23</f>
        <v>763.128825263313</v>
      </c>
      <c r="H58" s="12" t="n">
        <f aca="false">F58/Combined_Summary!$B$23</f>
        <v>907.810749754915</v>
      </c>
      <c r="I58" s="12" t="n">
        <f aca="false">H58-G58</f>
        <v>144.681924491602</v>
      </c>
      <c r="J58" s="13" t="n">
        <f aca="false">IF(G58=0,"",I58/G58)</f>
        <v>0.189590433098475</v>
      </c>
    </row>
    <row r="59" customFormat="false" ht="15" hidden="false" customHeight="false" outlineLevel="0" collapsed="false">
      <c r="A59" s="3" t="n">
        <v>7330</v>
      </c>
      <c r="B59" s="3" t="n">
        <v>224226</v>
      </c>
      <c r="C59" s="18" t="n">
        <v>1076</v>
      </c>
      <c r="D59" s="18" t="n">
        <v>1076</v>
      </c>
      <c r="E59" s="19" t="n">
        <v>323.608455913218</v>
      </c>
      <c r="F59" s="19" t="n">
        <v>350.119150041204</v>
      </c>
      <c r="G59" s="12" t="n">
        <f aca="false">E59/Combined_Summary!$B$23</f>
        <v>1294.43382365287</v>
      </c>
      <c r="H59" s="12" t="n">
        <f aca="false">F59/Combined_Summary!$B$23</f>
        <v>1400.47660016482</v>
      </c>
      <c r="I59" s="12" t="n">
        <f aca="false">H59-G59</f>
        <v>106.042776511948</v>
      </c>
      <c r="J59" s="13" t="n">
        <f aca="false">IF(G59=0,"",I59/G59)</f>
        <v>0.0819221304127366</v>
      </c>
    </row>
    <row r="60" customFormat="false" ht="15" hidden="false" customHeight="false" outlineLevel="0" collapsed="false">
      <c r="A60" s="3" t="n">
        <v>7331</v>
      </c>
      <c r="B60" s="3" t="n">
        <v>224202</v>
      </c>
      <c r="C60" s="18" t="n">
        <v>701</v>
      </c>
      <c r="D60" s="18" t="n">
        <v>701</v>
      </c>
      <c r="E60" s="19" t="n">
        <v>334.417381928753</v>
      </c>
      <c r="F60" s="19" t="n">
        <v>369.721282588942</v>
      </c>
      <c r="G60" s="12" t="n">
        <f aca="false">E60/Combined_Summary!$B$23</f>
        <v>1337.66952771501</v>
      </c>
      <c r="H60" s="12" t="n">
        <f aca="false">F60/Combined_Summary!$B$23</f>
        <v>1478.88513035577</v>
      </c>
      <c r="I60" s="12" t="n">
        <f aca="false">H60-G60</f>
        <v>141.215602640759</v>
      </c>
      <c r="J60" s="13" t="n">
        <f aca="false">IF(G60=0,"",I60/G60)</f>
        <v>0.105568378224165</v>
      </c>
    </row>
    <row r="61" customFormat="false" ht="15" hidden="false" customHeight="false" outlineLevel="0" collapsed="false">
      <c r="A61" s="3" t="n">
        <v>7342</v>
      </c>
      <c r="B61" s="3" t="n">
        <v>224182</v>
      </c>
      <c r="C61" s="18" t="n">
        <v>546</v>
      </c>
      <c r="D61" s="18" t="n">
        <v>546</v>
      </c>
      <c r="E61" s="19" t="n">
        <v>334.708657526708</v>
      </c>
      <c r="F61" s="19" t="n">
        <v>368.475012978355</v>
      </c>
      <c r="G61" s="12" t="n">
        <f aca="false">E61/Combined_Summary!$B$23</f>
        <v>1338.83463010683</v>
      </c>
      <c r="H61" s="12" t="n">
        <f aca="false">F61/Combined_Summary!$B$23</f>
        <v>1473.90005191342</v>
      </c>
      <c r="I61" s="12" t="n">
        <f aca="false">H61-G61</f>
        <v>135.065421806587</v>
      </c>
      <c r="J61" s="13" t="n">
        <f aca="false">IF(G61=0,"",I61/G61)</f>
        <v>0.100882826578671</v>
      </c>
    </row>
    <row r="62" customFormat="false" ht="15" hidden="false" customHeight="false" outlineLevel="0" collapsed="false">
      <c r="A62" s="3" t="n">
        <v>7343</v>
      </c>
      <c r="B62" s="3" t="n">
        <v>223979</v>
      </c>
      <c r="C62" s="18" t="n">
        <v>831</v>
      </c>
      <c r="D62" s="18" t="n">
        <v>831</v>
      </c>
      <c r="E62" s="19" t="n">
        <v>185.829795685916</v>
      </c>
      <c r="F62" s="19" t="n">
        <v>251.230142742575</v>
      </c>
      <c r="G62" s="12" t="n">
        <f aca="false">E62/Combined_Summary!$B$23</f>
        <v>743.319182743665</v>
      </c>
      <c r="H62" s="12" t="n">
        <f aca="false">F62/Combined_Summary!$B$23</f>
        <v>1004.9205709703</v>
      </c>
      <c r="I62" s="12" t="n">
        <f aca="false">H62-G62</f>
        <v>261.601388226634</v>
      </c>
      <c r="J62" s="13" t="n">
        <f aca="false">IF(G62=0,"",I62/G62)</f>
        <v>0.351936818394808</v>
      </c>
    </row>
    <row r="63" customFormat="false" ht="15" hidden="false" customHeight="false" outlineLevel="0" collapsed="false">
      <c r="A63" s="3" t="n">
        <v>7349</v>
      </c>
      <c r="B63" s="3" t="n">
        <v>224188</v>
      </c>
      <c r="C63" s="18" t="n">
        <v>1069</v>
      </c>
      <c r="D63" s="18" t="n">
        <v>1069</v>
      </c>
      <c r="E63" s="19" t="n">
        <v>338.162420981169</v>
      </c>
      <c r="F63" s="19" t="n">
        <v>368.300803438763</v>
      </c>
      <c r="G63" s="12" t="n">
        <f aca="false">E63/Combined_Summary!$B$23</f>
        <v>1352.64968392468</v>
      </c>
      <c r="H63" s="12" t="n">
        <f aca="false">F63/Combined_Summary!$B$23</f>
        <v>1473.20321375505</v>
      </c>
      <c r="I63" s="12" t="n">
        <f aca="false">H63-G63</f>
        <v>120.553529830376</v>
      </c>
      <c r="J63" s="13" t="n">
        <f aca="false">IF(G63=0,"",I63/G63)</f>
        <v>0.0891239847708338</v>
      </c>
    </row>
    <row r="64" customFormat="false" ht="15" hidden="false" customHeight="false" outlineLevel="0" collapsed="false">
      <c r="A64" s="3" t="n">
        <v>7350</v>
      </c>
      <c r="B64" s="3" t="n">
        <v>224165</v>
      </c>
      <c r="C64" s="18" t="n">
        <v>916</v>
      </c>
      <c r="D64" s="18" t="n">
        <v>916</v>
      </c>
      <c r="E64" s="19" t="n">
        <v>308.037605102406</v>
      </c>
      <c r="F64" s="19" t="n">
        <v>337.998973921397</v>
      </c>
      <c r="G64" s="12" t="n">
        <f aca="false">E64/Combined_Summary!$B$23</f>
        <v>1232.15042040962</v>
      </c>
      <c r="H64" s="12" t="n">
        <f aca="false">F64/Combined_Summary!$B$23</f>
        <v>1351.99589568559</v>
      </c>
      <c r="I64" s="12" t="n">
        <f aca="false">H64-G64</f>
        <v>119.845475275964</v>
      </c>
      <c r="J64" s="13" t="n">
        <f aca="false">IF(G64=0,"",I64/G64)</f>
        <v>0.0972652959336912</v>
      </c>
    </row>
    <row r="65" customFormat="false" ht="15" hidden="false" customHeight="false" outlineLevel="0" collapsed="false">
      <c r="A65" s="3" t="n">
        <v>7351</v>
      </c>
      <c r="B65" s="3" t="n">
        <v>224005</v>
      </c>
      <c r="C65" s="18" t="n">
        <v>751</v>
      </c>
      <c r="D65" s="18" t="n">
        <v>751</v>
      </c>
      <c r="E65" s="19" t="n">
        <v>175.620518731373</v>
      </c>
      <c r="F65" s="19" t="n">
        <v>221.355841533798</v>
      </c>
      <c r="G65" s="12" t="n">
        <f aca="false">E65/Combined_Summary!$B$23</f>
        <v>702.48207492549</v>
      </c>
      <c r="H65" s="12" t="n">
        <f aca="false">F65/Combined_Summary!$B$23</f>
        <v>885.423366135192</v>
      </c>
      <c r="I65" s="12" t="n">
        <f aca="false">H65-G65</f>
        <v>182.941291209702</v>
      </c>
      <c r="J65" s="13" t="n">
        <f aca="false">IF(G65=0,"",I65/G65)</f>
        <v>0.260421294349904</v>
      </c>
    </row>
    <row r="66" customFormat="false" ht="15" hidden="false" customHeight="false" outlineLevel="0" collapsed="false">
      <c r="A66" s="3" t="n">
        <v>7361</v>
      </c>
      <c r="B66" s="3" t="n">
        <v>447672</v>
      </c>
      <c r="C66" s="18" t="n">
        <v>530</v>
      </c>
      <c r="D66" s="18" t="n">
        <v>530</v>
      </c>
      <c r="E66" s="19" t="n">
        <v>283.547782235775</v>
      </c>
      <c r="F66" s="19" t="n">
        <v>325.683618120877</v>
      </c>
      <c r="G66" s="12" t="n">
        <f aca="false">E66/Combined_Summary!$B$23</f>
        <v>1134.1911289431</v>
      </c>
      <c r="H66" s="12" t="n">
        <f aca="false">F66/Combined_Summary!$B$23</f>
        <v>1302.73447248351</v>
      </c>
      <c r="I66" s="12" t="n">
        <f aca="false">H66-G66</f>
        <v>168.543343540408</v>
      </c>
      <c r="J66" s="13" t="n">
        <f aca="false">IF(G66=0,"",I66/G66)</f>
        <v>0.148602241050382</v>
      </c>
    </row>
    <row r="67" customFormat="false" ht="15" hidden="false" customHeight="false" outlineLevel="0" collapsed="false">
      <c r="A67" s="3" t="n">
        <v>7362</v>
      </c>
      <c r="B67" s="3" t="n">
        <v>806223</v>
      </c>
      <c r="C67" s="18" t="n">
        <v>798</v>
      </c>
      <c r="D67" s="18" t="n">
        <v>798</v>
      </c>
      <c r="E67" s="19" t="n">
        <v>340.947735277334</v>
      </c>
      <c r="F67" s="19" t="n">
        <v>374.884185915304</v>
      </c>
      <c r="G67" s="12" t="n">
        <f aca="false">E67/Combined_Summary!$B$23</f>
        <v>1363.79094110933</v>
      </c>
      <c r="H67" s="12" t="n">
        <f aca="false">F67/Combined_Summary!$B$23</f>
        <v>1499.53674366122</v>
      </c>
      <c r="I67" s="12" t="n">
        <f aca="false">H67-G67</f>
        <v>135.745802551881</v>
      </c>
      <c r="J67" s="13" t="n">
        <f aca="false">IF(G67=0,"",I67/G67)</f>
        <v>0.099535638828531</v>
      </c>
    </row>
    <row r="68" customFormat="false" ht="15" hidden="false" customHeight="false" outlineLevel="0" collapsed="false">
      <c r="A68" s="3" t="n">
        <v>7363</v>
      </c>
      <c r="B68" s="3" t="n">
        <v>224081</v>
      </c>
      <c r="C68" s="18" t="n">
        <v>733</v>
      </c>
      <c r="D68" s="18" t="n">
        <v>733</v>
      </c>
      <c r="E68" s="19" t="n">
        <v>309.152685480261</v>
      </c>
      <c r="F68" s="19" t="n">
        <v>338.941104404923</v>
      </c>
      <c r="G68" s="12" t="n">
        <f aca="false">E68/Combined_Summary!$B$23</f>
        <v>1236.61074192104</v>
      </c>
      <c r="H68" s="12" t="n">
        <f aca="false">F68/Combined_Summary!$B$23</f>
        <v>1355.76441761969</v>
      </c>
      <c r="I68" s="12" t="n">
        <f aca="false">H68-G68</f>
        <v>119.153675698649</v>
      </c>
      <c r="J68" s="13" t="n">
        <f aca="false">IF(G68=0,"",I68/G68)</f>
        <v>0.0963550385415111</v>
      </c>
    </row>
    <row r="69" customFormat="false" ht="15" hidden="false" customHeight="false" outlineLevel="0" collapsed="false">
      <c r="A69" s="3" t="n">
        <v>7393</v>
      </c>
      <c r="B69" s="3" t="n">
        <v>224186</v>
      </c>
      <c r="C69" s="18" t="n">
        <v>513</v>
      </c>
      <c r="D69" s="18" t="n">
        <v>513</v>
      </c>
      <c r="E69" s="19" t="n">
        <v>262.17322039093</v>
      </c>
      <c r="F69" s="19" t="n">
        <v>305.106832284909</v>
      </c>
      <c r="G69" s="12" t="n">
        <f aca="false">E69/Combined_Summary!$B$23</f>
        <v>1048.69288156372</v>
      </c>
      <c r="H69" s="12" t="n">
        <f aca="false">F69/Combined_Summary!$B$23</f>
        <v>1220.42732913964</v>
      </c>
      <c r="I69" s="12" t="n">
        <f aca="false">H69-G69</f>
        <v>171.734447575917</v>
      </c>
      <c r="J69" s="13" t="n">
        <f aca="false">IF(G69=0,"",I69/G69)</f>
        <v>0.163760478015109</v>
      </c>
    </row>
    <row r="70" customFormat="false" ht="15" hidden="false" customHeight="false" outlineLevel="0" collapsed="false">
      <c r="A70" s="3" t="n">
        <v>11925</v>
      </c>
      <c r="B70" s="3" t="n">
        <v>224092</v>
      </c>
      <c r="C70" s="18" t="n">
        <v>959</v>
      </c>
      <c r="D70" s="18" t="n">
        <v>959</v>
      </c>
      <c r="E70" s="19" t="n">
        <v>359.899965049577</v>
      </c>
      <c r="F70" s="19" t="n">
        <v>387.600634546051</v>
      </c>
      <c r="G70" s="12" t="n">
        <f aca="false">E70/Combined_Summary!$B$23</f>
        <v>1439.59986019831</v>
      </c>
      <c r="H70" s="12" t="n">
        <f aca="false">F70/Combined_Summary!$B$23</f>
        <v>1550.4025381842</v>
      </c>
      <c r="I70" s="12" t="n">
        <f aca="false">H70-G70</f>
        <v>110.802677985898</v>
      </c>
      <c r="J70" s="13" t="n">
        <f aca="false">IF(G70=0,"",I70/G70)</f>
        <v>0.0769676915435621</v>
      </c>
    </row>
    <row r="71" customFormat="false" ht="15" hidden="false" customHeight="false" outlineLevel="0" collapsed="false">
      <c r="A71" s="3" t="n">
        <v>11926</v>
      </c>
      <c r="B71" s="3" t="n">
        <v>450956</v>
      </c>
      <c r="C71" s="18" t="n">
        <v>571</v>
      </c>
      <c r="D71" s="18" t="n">
        <v>571</v>
      </c>
      <c r="E71" s="19" t="n">
        <v>345.125410437375</v>
      </c>
      <c r="F71" s="19" t="n">
        <v>375.027964603671</v>
      </c>
      <c r="G71" s="12" t="n">
        <f aca="false">E71/Combined_Summary!$B$23</f>
        <v>1380.5016417495</v>
      </c>
      <c r="H71" s="12" t="n">
        <f aca="false">F71/Combined_Summary!$B$23</f>
        <v>1500.11185841469</v>
      </c>
      <c r="I71" s="12" t="n">
        <f aca="false">H71-G71</f>
        <v>119.610216665185</v>
      </c>
      <c r="J71" s="13" t="n">
        <f aca="false">IF(G71=0,"",I71/G71)</f>
        <v>0.0866425747336336</v>
      </c>
    </row>
    <row r="72" customFormat="false" ht="15" hidden="false" customHeight="false" outlineLevel="0" collapsed="false">
      <c r="A72" s="3" t="n">
        <v>11927</v>
      </c>
      <c r="B72" s="3" t="n">
        <v>224159</v>
      </c>
      <c r="C72" s="18" t="n">
        <v>533</v>
      </c>
      <c r="D72" s="18" t="n">
        <v>533</v>
      </c>
      <c r="E72" s="19" t="n">
        <v>344.484012954454</v>
      </c>
      <c r="F72" s="19" t="n">
        <v>369.043822268831</v>
      </c>
      <c r="G72" s="12" t="n">
        <f aca="false">E72/Combined_Summary!$B$23</f>
        <v>1377.93605181782</v>
      </c>
      <c r="H72" s="12" t="n">
        <f aca="false">F72/Combined_Summary!$B$23</f>
        <v>1476.17528907533</v>
      </c>
      <c r="I72" s="12" t="n">
        <f aca="false">H72-G72</f>
        <v>98.2392372575084</v>
      </c>
      <c r="J72" s="13" t="n">
        <f aca="false">IF(G72=0,"",I72/G72)</f>
        <v>0.071294482155328</v>
      </c>
    </row>
    <row r="73" customFormat="false" ht="15" hidden="false" customHeight="false" outlineLevel="0" collapsed="false">
      <c r="A73" s="3" t="n">
        <v>11928</v>
      </c>
      <c r="B73" s="3" t="n">
        <v>223969</v>
      </c>
      <c r="C73" s="18" t="n">
        <v>533</v>
      </c>
      <c r="D73" s="18" t="n">
        <v>533</v>
      </c>
      <c r="E73" s="19" t="n">
        <v>293.012231415253</v>
      </c>
      <c r="F73" s="19" t="n">
        <v>333.67219208508</v>
      </c>
      <c r="G73" s="12" t="n">
        <f aca="false">E73/Combined_Summary!$B$23</f>
        <v>1172.04892566101</v>
      </c>
      <c r="H73" s="12" t="n">
        <f aca="false">F73/Combined_Summary!$B$23</f>
        <v>1334.68876834032</v>
      </c>
      <c r="I73" s="12" t="n">
        <f aca="false">H73-G73</f>
        <v>162.639842679308</v>
      </c>
      <c r="J73" s="13" t="n">
        <f aca="false">IF(G73=0,"",I73/G73)</f>
        <v>0.13876540400187</v>
      </c>
    </row>
    <row r="74" customFormat="false" ht="15" hidden="false" customHeight="false" outlineLevel="0" collapsed="false">
      <c r="A74" s="3" t="n">
        <v>11929</v>
      </c>
      <c r="B74" s="3" t="n">
        <v>223897</v>
      </c>
      <c r="C74" s="18" t="n">
        <v>598</v>
      </c>
      <c r="D74" s="18" t="n">
        <v>598</v>
      </c>
      <c r="E74" s="19" t="n">
        <v>317.449952358386</v>
      </c>
      <c r="F74" s="19" t="n">
        <v>346.223403637226</v>
      </c>
      <c r="G74" s="12" t="n">
        <f aca="false">E74/Combined_Summary!$B$23</f>
        <v>1269.79980943354</v>
      </c>
      <c r="H74" s="12" t="n">
        <f aca="false">F74/Combined_Summary!$B$23</f>
        <v>1384.8936145489</v>
      </c>
      <c r="I74" s="12" t="n">
        <f aca="false">H74-G74</f>
        <v>115.093805115358</v>
      </c>
      <c r="J74" s="13" t="n">
        <f aca="false">IF(G74=0,"",I74/G74)</f>
        <v>0.0906393309089418</v>
      </c>
    </row>
    <row r="75" customFormat="false" ht="15" hidden="false" customHeight="false" outlineLevel="0" collapsed="false">
      <c r="A75" s="3" t="n">
        <v>11942</v>
      </c>
      <c r="B75" s="3" t="n">
        <v>224079</v>
      </c>
      <c r="C75" s="18" t="n">
        <v>694</v>
      </c>
      <c r="D75" s="18" t="n">
        <v>694</v>
      </c>
      <c r="E75" s="19" t="n">
        <v>342.384700082565</v>
      </c>
      <c r="F75" s="19" t="n">
        <v>372.670263306895</v>
      </c>
      <c r="G75" s="12" t="n">
        <f aca="false">E75/Combined_Summary!$B$23</f>
        <v>1369.53880033026</v>
      </c>
      <c r="H75" s="12" t="n">
        <f aca="false">F75/Combined_Summary!$B$23</f>
        <v>1490.68105322758</v>
      </c>
      <c r="I75" s="12" t="n">
        <f aca="false">H75-G75</f>
        <v>121.142252897323</v>
      </c>
      <c r="J75" s="13" t="n">
        <f aca="false">IF(G75=0,"",I75/G75)</f>
        <v>0.0884547797171646</v>
      </c>
    </row>
    <row r="76" customFormat="false" ht="15" hidden="false" customHeight="false" outlineLevel="0" collapsed="false">
      <c r="A76" s="3" t="n">
        <v>11954</v>
      </c>
      <c r="B76" s="3" t="n">
        <v>224040</v>
      </c>
      <c r="C76" s="18" t="n">
        <v>689</v>
      </c>
      <c r="D76" s="18" t="n">
        <v>689</v>
      </c>
      <c r="E76" s="19" t="n">
        <v>343.268012186612</v>
      </c>
      <c r="F76" s="19" t="n">
        <v>371.821833573163</v>
      </c>
      <c r="G76" s="12" t="n">
        <f aca="false">E76/Combined_Summary!$B$23</f>
        <v>1373.07204874645</v>
      </c>
      <c r="H76" s="12" t="n">
        <f aca="false">F76/Combined_Summary!$B$23</f>
        <v>1487.28733429265</v>
      </c>
      <c r="I76" s="12" t="n">
        <f aca="false">H76-G76</f>
        <v>114.215285546202</v>
      </c>
      <c r="J76" s="13" t="n">
        <f aca="false">IF(G76=0,"",I76/G76)</f>
        <v>0.0831822959694466</v>
      </c>
    </row>
    <row r="77" customFormat="false" ht="15" hidden="false" customHeight="false" outlineLevel="0" collapsed="false">
      <c r="A77" s="3" t="n">
        <v>11955</v>
      </c>
      <c r="B77" s="3" t="n">
        <v>223971</v>
      </c>
      <c r="C77" s="18" t="n">
        <v>494</v>
      </c>
      <c r="D77" s="18" t="n">
        <v>494</v>
      </c>
      <c r="E77" s="19" t="n">
        <v>299.942568342695</v>
      </c>
      <c r="F77" s="19" t="n">
        <v>322.439885189659</v>
      </c>
      <c r="G77" s="12" t="n">
        <f aca="false">E77/Combined_Summary!$B$23</f>
        <v>1199.77027337078</v>
      </c>
      <c r="H77" s="12" t="n">
        <f aca="false">F77/Combined_Summary!$B$23</f>
        <v>1289.75954075863</v>
      </c>
      <c r="I77" s="12" t="n">
        <f aca="false">H77-G77</f>
        <v>89.9892673878535</v>
      </c>
      <c r="J77" s="13" t="n">
        <f aca="false">IF(G77=0,"",I77/G77)</f>
        <v>0.0750054151075327</v>
      </c>
    </row>
    <row r="78" customFormat="false" ht="15" hidden="false" customHeight="false" outlineLevel="0" collapsed="false">
      <c r="A78" s="3" t="n">
        <v>11956</v>
      </c>
      <c r="B78" s="3" t="n">
        <v>232119</v>
      </c>
      <c r="C78" s="18" t="n">
        <v>565</v>
      </c>
      <c r="D78" s="18" t="n">
        <v>565</v>
      </c>
      <c r="E78" s="19" t="n">
        <v>333.377428618575</v>
      </c>
      <c r="F78" s="19" t="n">
        <v>352.576577961339</v>
      </c>
      <c r="G78" s="12" t="n">
        <f aca="false">E78/Combined_Summary!$B$23</f>
        <v>1333.5097144743</v>
      </c>
      <c r="H78" s="12" t="n">
        <f aca="false">F78/Combined_Summary!$B$23</f>
        <v>1410.30631184536</v>
      </c>
      <c r="I78" s="12" t="n">
        <f aca="false">H78-G78</f>
        <v>76.7965973710593</v>
      </c>
      <c r="J78" s="13" t="n">
        <f aca="false">IF(G78=0,"",I78/G78)</f>
        <v>0.0575898297083905</v>
      </c>
    </row>
    <row r="79" customFormat="false" ht="15" hidden="false" customHeight="false" outlineLevel="0" collapsed="false">
      <c r="A79" s="3" t="n">
        <v>11967</v>
      </c>
      <c r="B79" s="3" t="n">
        <v>232128</v>
      </c>
      <c r="C79" s="18" t="n">
        <v>596</v>
      </c>
      <c r="D79" s="18" t="n">
        <v>596</v>
      </c>
      <c r="E79" s="19" t="n">
        <v>344.869879120948</v>
      </c>
      <c r="F79" s="19" t="n">
        <v>369.158956463705</v>
      </c>
      <c r="G79" s="12" t="n">
        <f aca="false">E79/Combined_Summary!$B$23</f>
        <v>1379.47951648379</v>
      </c>
      <c r="H79" s="12" t="n">
        <f aca="false">F79/Combined_Summary!$B$23</f>
        <v>1476.63582585482</v>
      </c>
      <c r="I79" s="12" t="n">
        <f aca="false">H79-G79</f>
        <v>97.1563093710267</v>
      </c>
      <c r="J79" s="13" t="n">
        <f aca="false">IF(G79=0,"",I79/G79)</f>
        <v>0.0704296861316738</v>
      </c>
    </row>
    <row r="80" customFormat="false" ht="15" hidden="false" customHeight="false" outlineLevel="0" collapsed="false">
      <c r="A80" s="3" t="n">
        <v>11968</v>
      </c>
      <c r="B80" s="3" t="n">
        <v>232122</v>
      </c>
      <c r="C80" s="18" t="n">
        <v>545</v>
      </c>
      <c r="D80" s="18" t="n">
        <v>545</v>
      </c>
      <c r="E80" s="19" t="n">
        <v>320.72165410453</v>
      </c>
      <c r="F80" s="19" t="n">
        <v>349.03691759022</v>
      </c>
      <c r="G80" s="12" t="n">
        <f aca="false">E80/Combined_Summary!$B$23</f>
        <v>1282.88661641812</v>
      </c>
      <c r="H80" s="12" t="n">
        <f aca="false">F80/Combined_Summary!$B$23</f>
        <v>1396.14767036088</v>
      </c>
      <c r="I80" s="12" t="n">
        <f aca="false">H80-G80</f>
        <v>113.261053942759</v>
      </c>
      <c r="J80" s="13" t="n">
        <f aca="false">IF(G80=0,"",I80/G80)</f>
        <v>0.0882860983139641</v>
      </c>
    </row>
    <row r="81" customFormat="false" ht="15" hidden="false" customHeight="false" outlineLevel="0" collapsed="false">
      <c r="A81" s="3" t="n">
        <v>11969</v>
      </c>
      <c r="B81" s="3" t="n">
        <v>223903</v>
      </c>
      <c r="C81" s="18" t="n">
        <v>780</v>
      </c>
      <c r="D81" s="18" t="n">
        <v>780</v>
      </c>
      <c r="E81" s="19" t="n">
        <v>331.02793973776</v>
      </c>
      <c r="F81" s="19" t="n">
        <v>356.57367086166</v>
      </c>
      <c r="G81" s="12" t="n">
        <f aca="false">E81/Combined_Summary!$B$23</f>
        <v>1324.11175895104</v>
      </c>
      <c r="H81" s="12" t="n">
        <f aca="false">F81/Combined_Summary!$B$23</f>
        <v>1426.29468344664</v>
      </c>
      <c r="I81" s="12" t="n">
        <f aca="false">H81-G81</f>
        <v>102.182924495599</v>
      </c>
      <c r="J81" s="13" t="n">
        <f aca="false">IF(G81=0,"",I81/G81)</f>
        <v>0.077170921415688</v>
      </c>
    </row>
    <row r="82" customFormat="false" ht="15" hidden="false" customHeight="false" outlineLevel="0" collapsed="false">
      <c r="A82" s="3" t="n">
        <v>11981</v>
      </c>
      <c r="B82" s="3" t="n">
        <v>224089</v>
      </c>
      <c r="C82" s="18" t="n">
        <v>490</v>
      </c>
      <c r="D82" s="18" t="n">
        <v>490</v>
      </c>
      <c r="E82" s="19" t="n">
        <v>327.773578254544</v>
      </c>
      <c r="F82" s="19" t="n">
        <v>361.433128792899</v>
      </c>
      <c r="G82" s="12" t="n">
        <f aca="false">E82/Combined_Summary!$B$23</f>
        <v>1311.09431301818</v>
      </c>
      <c r="H82" s="12" t="n">
        <f aca="false">F82/Combined_Summary!$B$23</f>
        <v>1445.7325151716</v>
      </c>
      <c r="I82" s="12" t="n">
        <f aca="false">H82-G82</f>
        <v>134.63820215342</v>
      </c>
      <c r="J82" s="13" t="n">
        <f aca="false">IF(G82=0,"",I82/G82)</f>
        <v>0.102691469878684</v>
      </c>
    </row>
    <row r="83" customFormat="false" ht="15" hidden="false" customHeight="false" outlineLevel="0" collapsed="false">
      <c r="A83" s="3" t="n">
        <v>11982</v>
      </c>
      <c r="B83" s="3" t="n">
        <v>230617</v>
      </c>
      <c r="C83" s="18" t="n">
        <v>211</v>
      </c>
      <c r="D83" s="18" t="n">
        <v>211</v>
      </c>
      <c r="E83" s="19" t="n">
        <v>344.627327869289</v>
      </c>
      <c r="F83" s="19" t="n">
        <v>371.222560936806</v>
      </c>
      <c r="G83" s="12" t="n">
        <f aca="false">E83/Combined_Summary!$B$23</f>
        <v>1378.50931147715</v>
      </c>
      <c r="H83" s="12" t="n">
        <f aca="false">F83/Combined_Summary!$B$23</f>
        <v>1484.89024374722</v>
      </c>
      <c r="I83" s="12" t="n">
        <f aca="false">H83-G83</f>
        <v>106.380932270068</v>
      </c>
      <c r="J83" s="13" t="n">
        <f aca="false">IF(G83=0,"",I83/G83)</f>
        <v>0.0771709928865656</v>
      </c>
    </row>
    <row r="84" customFormat="false" ht="15" hidden="false" customHeight="false" outlineLevel="0" collapsed="false">
      <c r="A84" s="3" t="n">
        <v>11983</v>
      </c>
      <c r="B84" s="3" t="n">
        <v>232125</v>
      </c>
      <c r="C84" s="18" t="n">
        <v>505</v>
      </c>
      <c r="D84" s="18" t="n">
        <v>505</v>
      </c>
      <c r="E84" s="19" t="n">
        <v>347.823515727733</v>
      </c>
      <c r="F84" s="19" t="n">
        <v>375.056755111241</v>
      </c>
      <c r="G84" s="12" t="n">
        <f aca="false">E84/Combined_Summary!$B$23</f>
        <v>1391.29406291093</v>
      </c>
      <c r="H84" s="12" t="n">
        <f aca="false">F84/Combined_Summary!$B$23</f>
        <v>1500.22702044496</v>
      </c>
      <c r="I84" s="12" t="n">
        <f aca="false">H84-G84</f>
        <v>108.932957534034</v>
      </c>
      <c r="J84" s="13" t="n">
        <f aca="false">IF(G84=0,"",I84/G84)</f>
        <v>0.0782961420148087</v>
      </c>
    </row>
    <row r="85" customFormat="false" ht="15" hidden="false" customHeight="false" outlineLevel="0" collapsed="false">
      <c r="A85" s="3" t="n">
        <v>11984</v>
      </c>
      <c r="B85" s="3" t="n">
        <v>232109</v>
      </c>
      <c r="C85" s="18" t="n">
        <v>774</v>
      </c>
      <c r="D85" s="18" t="n">
        <v>774</v>
      </c>
      <c r="E85" s="19" t="n">
        <v>334.979257292834</v>
      </c>
      <c r="F85" s="19" t="n">
        <v>356.292020871658</v>
      </c>
      <c r="G85" s="12" t="n">
        <f aca="false">E85/Combined_Summary!$B$23</f>
        <v>1339.91702917134</v>
      </c>
      <c r="H85" s="12" t="n">
        <f aca="false">F85/Combined_Summary!$B$23</f>
        <v>1425.16808348663</v>
      </c>
      <c r="I85" s="12" t="n">
        <f aca="false">H85-G85</f>
        <v>85.251054315296</v>
      </c>
      <c r="J85" s="13" t="n">
        <f aca="false">IF(G85=0,"",I85/G85)</f>
        <v>0.0636241293000202</v>
      </c>
    </row>
    <row r="86" customFormat="false" ht="15" hidden="false" customHeight="false" outlineLevel="0" collapsed="false">
      <c r="A86" s="3" t="n">
        <v>11985</v>
      </c>
      <c r="B86" s="3" t="n">
        <v>224007</v>
      </c>
      <c r="C86" s="18" t="n">
        <v>799</v>
      </c>
      <c r="D86" s="18" t="n">
        <v>799</v>
      </c>
      <c r="E86" s="19" t="n">
        <v>331.056405674979</v>
      </c>
      <c r="F86" s="19" t="n">
        <v>353.687616226521</v>
      </c>
      <c r="G86" s="12" t="n">
        <f aca="false">E86/Combined_Summary!$B$23</f>
        <v>1324.22562269991</v>
      </c>
      <c r="H86" s="12" t="n">
        <f aca="false">F86/Combined_Summary!$B$23</f>
        <v>1414.75046490608</v>
      </c>
      <c r="I86" s="12" t="n">
        <f aca="false">H86-G86</f>
        <v>90.5248422061698</v>
      </c>
      <c r="J86" s="13" t="n">
        <f aca="false">IF(G86=0,"",I86/G86)</f>
        <v>0.0683605879952708</v>
      </c>
    </row>
    <row r="87" customFormat="false" ht="15" hidden="false" customHeight="false" outlineLevel="0" collapsed="false">
      <c r="A87" s="3" t="n">
        <v>11986</v>
      </c>
      <c r="B87" s="3" t="n">
        <v>232108</v>
      </c>
      <c r="C87" s="18" t="n">
        <v>866</v>
      </c>
      <c r="D87" s="18" t="n">
        <v>866</v>
      </c>
      <c r="E87" s="19" t="n">
        <v>333.39634692256</v>
      </c>
      <c r="F87" s="19" t="n">
        <v>363.148467189445</v>
      </c>
      <c r="G87" s="12" t="n">
        <f aca="false">E87/Combined_Summary!$B$23</f>
        <v>1333.58538769024</v>
      </c>
      <c r="H87" s="12" t="n">
        <f aca="false">F87/Combined_Summary!$B$23</f>
        <v>1452.59386875778</v>
      </c>
      <c r="I87" s="12" t="n">
        <f aca="false">H87-G87</f>
        <v>119.008481067543</v>
      </c>
      <c r="J87" s="13" t="n">
        <f aca="false">IF(G87=0,"",I87/G87)</f>
        <v>0.0892394908987905</v>
      </c>
    </row>
    <row r="88" customFormat="false" ht="15" hidden="false" customHeight="false" outlineLevel="0" collapsed="false">
      <c r="A88" s="3" t="n">
        <v>11999</v>
      </c>
      <c r="B88" s="3" t="n">
        <v>224052</v>
      </c>
      <c r="C88" s="18" t="n">
        <v>668</v>
      </c>
      <c r="D88" s="18" t="n">
        <v>668</v>
      </c>
      <c r="E88" s="19" t="n">
        <v>337.291985403278</v>
      </c>
      <c r="F88" s="19" t="n">
        <v>361.87198785108</v>
      </c>
      <c r="G88" s="12" t="n">
        <f aca="false">E88/Combined_Summary!$B$23</f>
        <v>1349.16794161311</v>
      </c>
      <c r="H88" s="12" t="n">
        <f aca="false">F88/Combined_Summary!$B$23</f>
        <v>1447.48795140432</v>
      </c>
      <c r="I88" s="12" t="n">
        <f aca="false">H88-G88</f>
        <v>98.3200097912088</v>
      </c>
      <c r="J88" s="13" t="n">
        <f aca="false">IF(G88=0,"",I88/G88)</f>
        <v>0.0728745523508764</v>
      </c>
    </row>
    <row r="89" customFormat="false" ht="15" hidden="false" customHeight="false" outlineLevel="0" collapsed="false">
      <c r="A89" s="3" t="n">
        <v>12000</v>
      </c>
      <c r="B89" s="3" t="n">
        <v>223983</v>
      </c>
      <c r="C89" s="18" t="n">
        <v>679</v>
      </c>
      <c r="D89" s="18" t="n">
        <v>679</v>
      </c>
      <c r="E89" s="19" t="n">
        <v>320.773950545883</v>
      </c>
      <c r="F89" s="19" t="n">
        <v>349.930262457464</v>
      </c>
      <c r="G89" s="12" t="n">
        <f aca="false">E89/Combined_Summary!$B$23</f>
        <v>1283.09580218353</v>
      </c>
      <c r="H89" s="12" t="n">
        <f aca="false">F89/Combined_Summary!$B$23</f>
        <v>1399.72104982986</v>
      </c>
      <c r="I89" s="12" t="n">
        <f aca="false">H89-G89</f>
        <v>116.625247646326</v>
      </c>
      <c r="J89" s="13" t="n">
        <f aca="false">IF(G89=0,"",I89/G89)</f>
        <v>0.090893639779553</v>
      </c>
    </row>
    <row r="90" customFormat="false" ht="15" hidden="false" customHeight="false" outlineLevel="0" collapsed="false">
      <c r="A90" s="3" t="n">
        <v>12001</v>
      </c>
      <c r="B90" s="3" t="n">
        <v>224008</v>
      </c>
      <c r="C90" s="18" t="n">
        <v>565</v>
      </c>
      <c r="D90" s="18" t="n">
        <v>565</v>
      </c>
      <c r="E90" s="19" t="n">
        <v>335.148498926754</v>
      </c>
      <c r="F90" s="19" t="n">
        <v>362.940878876543</v>
      </c>
      <c r="G90" s="12" t="n">
        <f aca="false">E90/Combined_Summary!$B$23</f>
        <v>1340.59399570701</v>
      </c>
      <c r="H90" s="12" t="n">
        <f aca="false">F90/Combined_Summary!$B$23</f>
        <v>1451.76351550617</v>
      </c>
      <c r="I90" s="12" t="n">
        <f aca="false">H90-G90</f>
        <v>111.169519799156</v>
      </c>
      <c r="J90" s="13" t="n">
        <f aca="false">IF(G90=0,"",I90/G90)</f>
        <v>0.0829255689307536</v>
      </c>
    </row>
    <row r="91" customFormat="false" ht="15" hidden="false" customHeight="false" outlineLevel="0" collapsed="false">
      <c r="A91" s="3" t="n">
        <v>12011</v>
      </c>
      <c r="B91" s="3" t="n">
        <v>224085</v>
      </c>
      <c r="C91" s="18" t="n">
        <v>704</v>
      </c>
      <c r="D91" s="18" t="n">
        <v>704</v>
      </c>
      <c r="E91" s="19" t="n">
        <v>325.012533312494</v>
      </c>
      <c r="F91" s="19" t="n">
        <v>350.116502003236</v>
      </c>
      <c r="G91" s="12" t="n">
        <f aca="false">E91/Combined_Summary!$B$23</f>
        <v>1300.05013324998</v>
      </c>
      <c r="H91" s="12" t="n">
        <f aca="false">F91/Combined_Summary!$B$23</f>
        <v>1400.46600801294</v>
      </c>
      <c r="I91" s="12" t="n">
        <f aca="false">H91-G91</f>
        <v>100.415874762968</v>
      </c>
      <c r="J91" s="13" t="n">
        <f aca="false">IF(G91=0,"",I91/G91)</f>
        <v>0.077240001900496</v>
      </c>
    </row>
    <row r="92" customFormat="false" ht="15" hidden="false" customHeight="false" outlineLevel="0" collapsed="false">
      <c r="A92" s="3" t="n">
        <v>12022</v>
      </c>
      <c r="B92" s="3" t="n">
        <v>646340</v>
      </c>
      <c r="C92" s="18" t="n">
        <v>16</v>
      </c>
      <c r="D92" s="18" t="n">
        <v>16</v>
      </c>
      <c r="E92" s="19" t="n">
        <v>246.735976219177</v>
      </c>
      <c r="F92" s="19" t="n">
        <v>298.920156478882</v>
      </c>
      <c r="G92" s="12" t="n">
        <f aca="false">E92/Combined_Summary!$B$23</f>
        <v>986.943904876709</v>
      </c>
      <c r="H92" s="12" t="n">
        <f aca="false">F92/Combined_Summary!$B$23</f>
        <v>1195.68062591553</v>
      </c>
      <c r="I92" s="12" t="n">
        <f aca="false">H92-G92</f>
        <v>208.736721038818</v>
      </c>
      <c r="J92" s="13" t="n">
        <f aca="false">IF(G92=0,"",I92/G92)</f>
        <v>0.211498059826302</v>
      </c>
    </row>
    <row r="93" customFormat="false" ht="15" hidden="false" customHeight="false" outlineLevel="0" collapsed="false">
      <c r="A93" s="3" t="n">
        <v>12023</v>
      </c>
      <c r="B93" s="3" t="n">
        <v>224193</v>
      </c>
      <c r="C93" s="18" t="n">
        <v>771</v>
      </c>
      <c r="D93" s="18" t="n">
        <v>771</v>
      </c>
      <c r="E93" s="19" t="n">
        <v>329.370830031221</v>
      </c>
      <c r="F93" s="19" t="n">
        <v>355.661481557962</v>
      </c>
      <c r="G93" s="12" t="n">
        <f aca="false">E93/Combined_Summary!$B$23</f>
        <v>1317.48332012488</v>
      </c>
      <c r="H93" s="12" t="n">
        <f aca="false">F93/Combined_Summary!$B$23</f>
        <v>1422.64592623185</v>
      </c>
      <c r="I93" s="12" t="n">
        <f aca="false">H93-G93</f>
        <v>105.162606106967</v>
      </c>
      <c r="J93" s="13" t="n">
        <f aca="false">IF(G93=0,"",I93/G93)</f>
        <v>0.0798208254332959</v>
      </c>
    </row>
    <row r="94" customFormat="false" ht="15" hidden="false" customHeight="false" outlineLevel="0" collapsed="false">
      <c r="A94" s="3" t="n">
        <v>12024</v>
      </c>
      <c r="B94" s="3" t="n">
        <v>224191</v>
      </c>
      <c r="C94" s="18" t="n">
        <v>588</v>
      </c>
      <c r="D94" s="18" t="n">
        <v>588</v>
      </c>
      <c r="E94" s="19" t="n">
        <v>334.40928921732</v>
      </c>
      <c r="F94" s="19" t="n">
        <v>358.779611366947</v>
      </c>
      <c r="G94" s="12" t="n">
        <f aca="false">E94/Combined_Summary!$B$23</f>
        <v>1337.63715686928</v>
      </c>
      <c r="H94" s="12" t="n">
        <f aca="false">F94/Combined_Summary!$B$23</f>
        <v>1435.11844546779</v>
      </c>
      <c r="I94" s="12" t="n">
        <f aca="false">H94-G94</f>
        <v>97.4812885985084</v>
      </c>
      <c r="J94" s="13" t="n">
        <f aca="false">IF(G94=0,"",I94/G94)</f>
        <v>0.0728757332269851</v>
      </c>
    </row>
    <row r="95" customFormat="false" ht="15" hidden="false" customHeight="false" outlineLevel="0" collapsed="false">
      <c r="A95" s="3" t="n">
        <v>12033</v>
      </c>
      <c r="B95" s="3" t="n">
        <v>223958</v>
      </c>
      <c r="C95" s="18" t="n">
        <v>944</v>
      </c>
      <c r="D95" s="18" t="n">
        <v>944</v>
      </c>
      <c r="E95" s="19" t="n">
        <v>294.681591926995</v>
      </c>
      <c r="F95" s="19" t="n">
        <v>324.732091725883</v>
      </c>
      <c r="G95" s="12" t="n">
        <f aca="false">E95/Combined_Summary!$B$23</f>
        <v>1178.72636770798</v>
      </c>
      <c r="H95" s="12" t="n">
        <f aca="false">F95/Combined_Summary!$B$23</f>
        <v>1298.92836690353</v>
      </c>
      <c r="I95" s="12" t="n">
        <f aca="false">H95-G95</f>
        <v>120.201999195551</v>
      </c>
      <c r="J95" s="13" t="n">
        <f aca="false">IF(G95=0,"",I95/G95)</f>
        <v>0.10197616892993</v>
      </c>
    </row>
    <row r="96" customFormat="false" ht="15" hidden="false" customHeight="false" outlineLevel="0" collapsed="false">
      <c r="A96" s="3" t="n">
        <v>12034</v>
      </c>
      <c r="B96" s="3" t="n">
        <v>223957</v>
      </c>
      <c r="C96" s="18" t="n">
        <v>528</v>
      </c>
      <c r="D96" s="18" t="n">
        <v>528</v>
      </c>
      <c r="E96" s="19" t="n">
        <v>258.361596866088</v>
      </c>
      <c r="F96" s="19" t="n">
        <v>306.173711964578</v>
      </c>
      <c r="G96" s="12" t="n">
        <f aca="false">E96/Combined_Summary!$B$23</f>
        <v>1033.44638746435</v>
      </c>
      <c r="H96" s="12" t="n">
        <f aca="false">F96/Combined_Summary!$B$23</f>
        <v>1224.69484785831</v>
      </c>
      <c r="I96" s="12" t="n">
        <f aca="false">H96-G96</f>
        <v>191.248460393963</v>
      </c>
      <c r="J96" s="13" t="n">
        <f aca="false">IF(G96=0,"",I96/G96)</f>
        <v>0.185058908438596</v>
      </c>
    </row>
    <row r="97" customFormat="false" ht="15" hidden="false" customHeight="false" outlineLevel="0" collapsed="false">
      <c r="A97" s="3" t="n">
        <v>12041</v>
      </c>
      <c r="B97" s="3" t="n">
        <v>453806</v>
      </c>
      <c r="C97" s="18" t="n">
        <v>250</v>
      </c>
      <c r="D97" s="18" t="n">
        <v>250</v>
      </c>
      <c r="E97" s="19" t="n">
        <v>282.886790802002</v>
      </c>
      <c r="F97" s="19" t="n">
        <v>330.42735736084</v>
      </c>
      <c r="G97" s="12" t="n">
        <f aca="false">E97/Combined_Summary!$B$23</f>
        <v>1131.54716320801</v>
      </c>
      <c r="H97" s="12" t="n">
        <f aca="false">F97/Combined_Summary!$B$23</f>
        <v>1321.70942944336</v>
      </c>
      <c r="I97" s="12" t="n">
        <f aca="false">H97-G97</f>
        <v>190.162266235352</v>
      </c>
      <c r="J97" s="13" t="n">
        <f aca="false">IF(G97=0,"",I97/G97)</f>
        <v>0.16805509519924</v>
      </c>
    </row>
    <row r="98" customFormat="false" ht="15" hidden="false" customHeight="false" outlineLevel="0" collapsed="false">
      <c r="A98" s="3" t="n">
        <v>12042</v>
      </c>
      <c r="B98" s="3" t="n">
        <v>224167</v>
      </c>
      <c r="C98" s="18" t="n">
        <v>963</v>
      </c>
      <c r="D98" s="18" t="n">
        <v>963</v>
      </c>
      <c r="E98" s="19" t="n">
        <v>318.580157766213</v>
      </c>
      <c r="F98" s="19" t="n">
        <v>343.877946277274</v>
      </c>
      <c r="G98" s="12" t="n">
        <f aca="false">E98/Combined_Summary!$B$23</f>
        <v>1274.32063106485</v>
      </c>
      <c r="H98" s="12" t="n">
        <f aca="false">F98/Combined_Summary!$B$23</f>
        <v>1375.5117851091</v>
      </c>
      <c r="I98" s="12" t="n">
        <f aca="false">H98-G98</f>
        <v>101.191154044242</v>
      </c>
      <c r="J98" s="13" t="n">
        <f aca="false">IF(G98=0,"",I98/G98)</f>
        <v>0.0794079226039711</v>
      </c>
    </row>
    <row r="99" customFormat="false" ht="15" hidden="false" customHeight="false" outlineLevel="0" collapsed="false">
      <c r="A99" s="3" t="n">
        <v>12043</v>
      </c>
      <c r="B99" s="3" t="n">
        <v>223977</v>
      </c>
      <c r="C99" s="18" t="n">
        <v>1128</v>
      </c>
      <c r="D99" s="18" t="n">
        <v>1128</v>
      </c>
      <c r="E99" s="19" t="n">
        <v>190.57501009001</v>
      </c>
      <c r="F99" s="19" t="n">
        <v>238.932310645462</v>
      </c>
      <c r="G99" s="12" t="n">
        <f aca="false">E99/Combined_Summary!$B$23</f>
        <v>762.300040360038</v>
      </c>
      <c r="H99" s="12" t="n">
        <f aca="false">F99/Combined_Summary!$B$23</f>
        <v>955.729242581848</v>
      </c>
      <c r="I99" s="12" t="n">
        <f aca="false">H99-G99</f>
        <v>193.42920222181</v>
      </c>
      <c r="J99" s="13" t="n">
        <f aca="false">IF(G99=0,"",I99/G99)</f>
        <v>0.253744184678847</v>
      </c>
    </row>
    <row r="100" customFormat="false" ht="15" hidden="false" customHeight="false" outlineLevel="0" collapsed="false">
      <c r="A100" s="3" t="n">
        <v>12052</v>
      </c>
      <c r="B100" s="3" t="n">
        <v>224271</v>
      </c>
      <c r="C100" s="18" t="n">
        <v>1013</v>
      </c>
      <c r="D100" s="18" t="n">
        <v>1013</v>
      </c>
      <c r="E100" s="19" t="n">
        <v>355.696731992912</v>
      </c>
      <c r="F100" s="19" t="n">
        <v>385.586333746501</v>
      </c>
      <c r="G100" s="12" t="n">
        <f aca="false">E100/Combined_Summary!$B$23</f>
        <v>1422.78692797165</v>
      </c>
      <c r="H100" s="12" t="n">
        <f aca="false">F100/Combined_Summary!$B$23</f>
        <v>1542.345334986</v>
      </c>
      <c r="I100" s="12" t="n">
        <f aca="false">H100-G100</f>
        <v>119.558407014355</v>
      </c>
      <c r="J100" s="13" t="n">
        <f aca="false">IF(G100=0,"",I100/G100)</f>
        <v>0.0840311396343795</v>
      </c>
    </row>
    <row r="101" customFormat="false" ht="15" hidden="false" customHeight="false" outlineLevel="0" collapsed="false">
      <c r="A101" s="3" t="n">
        <v>12053</v>
      </c>
      <c r="B101" s="3" t="n">
        <v>224282</v>
      </c>
      <c r="C101" s="18" t="n">
        <v>456</v>
      </c>
      <c r="D101" s="18" t="n">
        <v>456</v>
      </c>
      <c r="E101" s="19" t="n">
        <v>213.819545586904</v>
      </c>
      <c r="F101" s="19" t="n">
        <v>260.578216536003</v>
      </c>
      <c r="G101" s="12" t="n">
        <f aca="false">E101/Combined_Summary!$B$23</f>
        <v>855.278182347616</v>
      </c>
      <c r="H101" s="12" t="n">
        <f aca="false">F101/Combined_Summary!$B$23</f>
        <v>1042.31286614401</v>
      </c>
      <c r="I101" s="12" t="n">
        <f aca="false">H101-G101</f>
        <v>187.034683796398</v>
      </c>
      <c r="J101" s="13" t="n">
        <f aca="false">IF(G101=0,"",I101/G101)</f>
        <v>0.218682865594694</v>
      </c>
    </row>
    <row r="102" customFormat="false" ht="15" hidden="false" customHeight="false" outlineLevel="0" collapsed="false">
      <c r="A102" s="3" t="n">
        <v>12054</v>
      </c>
      <c r="B102" s="3" t="n">
        <v>224161</v>
      </c>
      <c r="C102" s="18" t="n">
        <v>585</v>
      </c>
      <c r="D102" s="18" t="n">
        <v>585</v>
      </c>
      <c r="E102" s="19" t="n">
        <v>302.480276724008</v>
      </c>
      <c r="F102" s="19" t="n">
        <v>336.646270360702</v>
      </c>
      <c r="G102" s="12" t="n">
        <f aca="false">E102/Combined_Summary!$B$23</f>
        <v>1209.92110689603</v>
      </c>
      <c r="H102" s="12" t="n">
        <f aca="false">F102/Combined_Summary!$B$23</f>
        <v>1346.58508144281</v>
      </c>
      <c r="I102" s="12" t="n">
        <f aca="false">H102-G102</f>
        <v>136.663974546775</v>
      </c>
      <c r="J102" s="13" t="n">
        <f aca="false">IF(G102=0,"",I102/G102)</f>
        <v>0.112952798135224</v>
      </c>
    </row>
    <row r="103" customFormat="false" ht="15" hidden="false" customHeight="false" outlineLevel="0" collapsed="false">
      <c r="A103" s="3" t="n">
        <v>12055</v>
      </c>
      <c r="B103" s="3" t="n">
        <v>224162</v>
      </c>
      <c r="C103" s="18" t="n">
        <v>568</v>
      </c>
      <c r="D103" s="18" t="n">
        <v>568</v>
      </c>
      <c r="E103" s="19" t="n">
        <v>222.96569250671</v>
      </c>
      <c r="F103" s="19" t="n">
        <v>274.412367511803</v>
      </c>
      <c r="G103" s="12" t="n">
        <f aca="false">E103/Combined_Summary!$B$23</f>
        <v>891.862770026838</v>
      </c>
      <c r="H103" s="12" t="n">
        <f aca="false">F103/Combined_Summary!$B$23</f>
        <v>1097.64947004721</v>
      </c>
      <c r="I103" s="12" t="n">
        <f aca="false">H103-G103</f>
        <v>205.786700020374</v>
      </c>
      <c r="J103" s="13" t="n">
        <f aca="false">IF(G103=0,"",I103/G103)</f>
        <v>0.230738076457862</v>
      </c>
    </row>
    <row r="104" customFormat="false" ht="15" hidden="false" customHeight="false" outlineLevel="0" collapsed="false">
      <c r="A104" s="3" t="n">
        <v>12056</v>
      </c>
      <c r="B104" s="3" t="n">
        <v>230624</v>
      </c>
      <c r="C104" s="18" t="n">
        <v>339</v>
      </c>
      <c r="D104" s="18" t="n">
        <v>339</v>
      </c>
      <c r="E104" s="19" t="n">
        <v>234.217613456524</v>
      </c>
      <c r="F104" s="19" t="n">
        <v>276.108130823546</v>
      </c>
      <c r="G104" s="12" t="n">
        <f aca="false">E104/Combined_Summary!$B$23</f>
        <v>936.870453826094</v>
      </c>
      <c r="H104" s="12" t="n">
        <f aca="false">F104/Combined_Summary!$B$23</f>
        <v>1104.43252329418</v>
      </c>
      <c r="I104" s="12" t="n">
        <f aca="false">H104-G104</f>
        <v>167.56206946809</v>
      </c>
      <c r="J104" s="13" t="n">
        <f aca="false">IF(G104=0,"",I104/G104)</f>
        <v>0.178852976720295</v>
      </c>
    </row>
    <row r="105" customFormat="false" ht="15" hidden="false" customHeight="false" outlineLevel="0" collapsed="false">
      <c r="A105" s="3" t="n">
        <v>12064</v>
      </c>
      <c r="B105" s="3" t="n">
        <v>224110</v>
      </c>
      <c r="C105" s="18" t="n">
        <v>1145</v>
      </c>
      <c r="D105" s="18" t="n">
        <v>1145</v>
      </c>
      <c r="E105" s="19" t="n">
        <v>325.565611310401</v>
      </c>
      <c r="F105" s="19" t="n">
        <v>348.015366253582</v>
      </c>
      <c r="G105" s="12" t="n">
        <f aca="false">E105/Combined_Summary!$B$23</f>
        <v>1302.2624452416</v>
      </c>
      <c r="H105" s="12" t="n">
        <f aca="false">F105/Combined_Summary!$B$23</f>
        <v>1392.06146501433</v>
      </c>
      <c r="I105" s="12" t="n">
        <f aca="false">H105-G105</f>
        <v>89.7990197727256</v>
      </c>
      <c r="J105" s="13" t="n">
        <f aca="false">IF(G105=0,"",I105/G105)</f>
        <v>0.0689561617175143</v>
      </c>
    </row>
    <row r="106" customFormat="false" ht="15" hidden="false" customHeight="false" outlineLevel="0" collapsed="false">
      <c r="A106" s="3" t="n">
        <v>12067</v>
      </c>
      <c r="B106" s="3" t="n">
        <v>224184</v>
      </c>
      <c r="C106" s="18" t="n">
        <v>1061</v>
      </c>
      <c r="D106" s="18" t="n">
        <v>1061</v>
      </c>
      <c r="E106" s="19" t="n">
        <v>331.755192547222</v>
      </c>
      <c r="F106" s="19" t="n">
        <v>360.385231025257</v>
      </c>
      <c r="G106" s="12" t="n">
        <f aca="false">E106/Combined_Summary!$B$23</f>
        <v>1327.02077018889</v>
      </c>
      <c r="H106" s="12" t="n">
        <f aca="false">F106/Combined_Summary!$B$23</f>
        <v>1441.54092410103</v>
      </c>
      <c r="I106" s="12" t="n">
        <f aca="false">H106-G106</f>
        <v>114.520153912141</v>
      </c>
      <c r="J106" s="13" t="n">
        <f aca="false">IF(G106=0,"",I106/G106)</f>
        <v>0.086298689880973</v>
      </c>
    </row>
    <row r="107" customFormat="false" ht="15" hidden="false" customHeight="false" outlineLevel="0" collapsed="false">
      <c r="A107" s="3" t="n">
        <v>12068</v>
      </c>
      <c r="B107" s="3" t="n">
        <v>649948</v>
      </c>
      <c r="C107" s="18" t="n">
        <v>16</v>
      </c>
      <c r="D107" s="18" t="n">
        <v>16</v>
      </c>
      <c r="E107" s="19" t="n">
        <v>353.441354751587</v>
      </c>
      <c r="F107" s="19" t="n">
        <v>384.424364089966</v>
      </c>
      <c r="G107" s="12" t="n">
        <f aca="false">E107/Combined_Summary!$B$23</f>
        <v>1413.76541900635</v>
      </c>
      <c r="H107" s="12" t="n">
        <f aca="false">F107/Combined_Summary!$B$23</f>
        <v>1537.69745635986</v>
      </c>
      <c r="I107" s="12" t="n">
        <f aca="false">H107-G107</f>
        <v>123.932037353516</v>
      </c>
      <c r="J107" s="13" t="n">
        <f aca="false">IF(G107=0,"",I107/G107)</f>
        <v>0.0876609624817533</v>
      </c>
    </row>
    <row r="108" customFormat="false" ht="15" hidden="false" customHeight="false" outlineLevel="0" collapsed="false">
      <c r="A108" s="3" t="n">
        <v>12069</v>
      </c>
      <c r="B108" s="3" t="n">
        <v>224055</v>
      </c>
      <c r="C108" s="18" t="n">
        <v>1186</v>
      </c>
      <c r="D108" s="18" t="n">
        <v>1186</v>
      </c>
      <c r="E108" s="19" t="n">
        <v>317.21262455469</v>
      </c>
      <c r="F108" s="19" t="n">
        <v>343.520258429079</v>
      </c>
      <c r="G108" s="12" t="n">
        <f aca="false">E108/Combined_Summary!$B$23</f>
        <v>1268.85049821876</v>
      </c>
      <c r="H108" s="12" t="n">
        <f aca="false">F108/Combined_Summary!$B$23</f>
        <v>1374.08103371631</v>
      </c>
      <c r="I108" s="12" t="n">
        <f aca="false">H108-G108</f>
        <v>105.230535497553</v>
      </c>
      <c r="J108" s="13" t="n">
        <f aca="false">IF(G108=0,"",I108/G108)</f>
        <v>0.0829337543274621</v>
      </c>
    </row>
    <row r="109" customFormat="false" ht="15" hidden="false" customHeight="false" outlineLevel="0" collapsed="false">
      <c r="A109" s="3" t="n">
        <v>12070</v>
      </c>
      <c r="B109" s="3" t="n">
        <v>223985</v>
      </c>
      <c r="C109" s="18" t="n">
        <v>777</v>
      </c>
      <c r="D109" s="18" t="n">
        <v>777</v>
      </c>
      <c r="E109" s="19" t="n">
        <v>247.585346919076</v>
      </c>
      <c r="F109" s="19" t="n">
        <v>285.896723831943</v>
      </c>
      <c r="G109" s="12" t="n">
        <f aca="false">E109/Combined_Summary!$B$23</f>
        <v>990.341387676303</v>
      </c>
      <c r="H109" s="12" t="n">
        <f aca="false">F109/Combined_Summary!$B$23</f>
        <v>1143.58689532777</v>
      </c>
      <c r="I109" s="12" t="n">
        <f aca="false">H109-G109</f>
        <v>153.245507651468</v>
      </c>
      <c r="J109" s="13" t="n">
        <f aca="false">IF(G109=0,"",I109/G109)</f>
        <v>0.154740082115559</v>
      </c>
    </row>
    <row r="110" customFormat="false" ht="15" hidden="false" customHeight="false" outlineLevel="0" collapsed="false">
      <c r="A110" s="3" t="n">
        <v>12071</v>
      </c>
      <c r="B110" s="3" t="n">
        <v>224171</v>
      </c>
      <c r="C110" s="18" t="n">
        <v>644</v>
      </c>
      <c r="D110" s="18" t="n">
        <v>644</v>
      </c>
      <c r="E110" s="19" t="n">
        <v>243.798632390751</v>
      </c>
      <c r="F110" s="19" t="n">
        <v>282.841148992503</v>
      </c>
      <c r="G110" s="12" t="n">
        <f aca="false">E110/Combined_Summary!$B$23</f>
        <v>975.194529563004</v>
      </c>
      <c r="H110" s="12" t="n">
        <f aca="false">F110/Combined_Summary!$B$23</f>
        <v>1131.36459597001</v>
      </c>
      <c r="I110" s="12" t="n">
        <f aca="false">H110-G110</f>
        <v>156.170066407008</v>
      </c>
      <c r="J110" s="13" t="n">
        <f aca="false">IF(G110=0,"",I110/G110)</f>
        <v>0.160142475857601</v>
      </c>
    </row>
    <row r="111" customFormat="false" ht="15" hidden="false" customHeight="false" outlineLevel="0" collapsed="false">
      <c r="A111" s="3" t="n">
        <v>12109</v>
      </c>
      <c r="B111" s="3" t="n">
        <v>224204</v>
      </c>
      <c r="C111" s="18" t="n">
        <v>657</v>
      </c>
      <c r="D111" s="18" t="n">
        <v>657</v>
      </c>
      <c r="E111" s="19" t="n">
        <v>336.561306737148</v>
      </c>
      <c r="F111" s="19" t="n">
        <v>361.25956626207</v>
      </c>
      <c r="G111" s="12" t="n">
        <f aca="false">E111/Combined_Summary!$B$23</f>
        <v>1346.24522694859</v>
      </c>
      <c r="H111" s="12" t="n">
        <f aca="false">F111/Combined_Summary!$B$23</f>
        <v>1445.03826504828</v>
      </c>
      <c r="I111" s="12" t="n">
        <f aca="false">H111-G111</f>
        <v>98.7930380996868</v>
      </c>
      <c r="J111" s="13" t="n">
        <f aca="false">IF(G111=0,"",I111/G111)</f>
        <v>0.0733841324909369</v>
      </c>
    </row>
    <row r="112" customFormat="false" ht="15" hidden="false" customHeight="false" outlineLevel="0" collapsed="false">
      <c r="A112" s="3" t="n">
        <v>12110</v>
      </c>
      <c r="B112" s="3" t="n">
        <v>224175</v>
      </c>
      <c r="C112" s="18" t="n">
        <v>660</v>
      </c>
      <c r="D112" s="18" t="n">
        <v>660</v>
      </c>
      <c r="E112" s="19" t="n">
        <v>289.550517700658</v>
      </c>
      <c r="F112" s="19" t="n">
        <v>335.389719853257</v>
      </c>
      <c r="G112" s="12" t="n">
        <f aca="false">E112/Combined_Summary!$B$23</f>
        <v>1158.20207080263</v>
      </c>
      <c r="H112" s="12" t="n">
        <f aca="false">F112/Combined_Summary!$B$23</f>
        <v>1341.55887941303</v>
      </c>
      <c r="I112" s="12" t="n">
        <f aca="false">H112-G112</f>
        <v>183.356808610396</v>
      </c>
      <c r="J112" s="13" t="n">
        <f aca="false">IF(G112=0,"",I112/G112)</f>
        <v>0.158311587617289</v>
      </c>
    </row>
    <row r="113" customFormat="false" ht="15" hidden="false" customHeight="false" outlineLevel="0" collapsed="false">
      <c r="A113" s="3" t="n">
        <v>12121</v>
      </c>
      <c r="B113" s="3" t="n">
        <v>224370</v>
      </c>
      <c r="C113" s="18" t="n">
        <v>666</v>
      </c>
      <c r="D113" s="18" t="n">
        <v>666</v>
      </c>
      <c r="E113" s="19" t="n">
        <v>272.48031554351</v>
      </c>
      <c r="F113" s="19" t="n">
        <v>308.914540792013</v>
      </c>
      <c r="G113" s="12" t="n">
        <f aca="false">E113/Combined_Summary!$B$23</f>
        <v>1089.92126217404</v>
      </c>
      <c r="H113" s="12" t="n">
        <f aca="false">F113/Combined_Summary!$B$23</f>
        <v>1235.65816316805</v>
      </c>
      <c r="I113" s="12" t="n">
        <f aca="false">H113-G113</f>
        <v>145.736900994012</v>
      </c>
      <c r="J113" s="13" t="n">
        <f aca="false">IF(G113=0,"",I113/G113)</f>
        <v>0.133713237874921</v>
      </c>
    </row>
    <row r="114" customFormat="false" ht="15" hidden="false" customHeight="false" outlineLevel="0" collapsed="false">
      <c r="A114" s="3" t="n">
        <v>16600</v>
      </c>
      <c r="B114" s="3" t="n">
        <v>224043</v>
      </c>
      <c r="C114" s="18" t="n">
        <v>810</v>
      </c>
      <c r="D114" s="18" t="n">
        <v>810</v>
      </c>
      <c r="E114" s="19" t="n">
        <v>346.183093977563</v>
      </c>
      <c r="F114" s="19" t="n">
        <v>367.307499468768</v>
      </c>
      <c r="G114" s="12" t="n">
        <f aca="false">E114/Combined_Summary!$B$23</f>
        <v>1384.73237591025</v>
      </c>
      <c r="H114" s="12" t="n">
        <f aca="false">F114/Combined_Summary!$B$23</f>
        <v>1469.22999787507</v>
      </c>
      <c r="I114" s="12" t="n">
        <f aca="false">H114-G114</f>
        <v>84.4976219648197</v>
      </c>
      <c r="J114" s="13" t="n">
        <f aca="false">IF(G114=0,"",I114/G114)</f>
        <v>0.0610209044251423</v>
      </c>
    </row>
    <row r="115" customFormat="false" ht="15" hidden="false" customHeight="false" outlineLevel="0" collapsed="false">
      <c r="A115" s="3" t="n">
        <v>16601</v>
      </c>
      <c r="B115" s="3" t="n">
        <v>224122</v>
      </c>
      <c r="C115" s="18" t="n">
        <v>566</v>
      </c>
      <c r="D115" s="18" t="n">
        <v>566</v>
      </c>
      <c r="E115" s="19" t="n">
        <v>349.364431489062</v>
      </c>
      <c r="F115" s="19" t="n">
        <v>371.258838626605</v>
      </c>
      <c r="G115" s="12" t="n">
        <f aca="false">E115/Combined_Summary!$B$23</f>
        <v>1397.45772595625</v>
      </c>
      <c r="H115" s="12" t="n">
        <f aca="false">F115/Combined_Summary!$B$23</f>
        <v>1485.03535450642</v>
      </c>
      <c r="I115" s="12" t="n">
        <f aca="false">H115-G115</f>
        <v>87.5776285501756</v>
      </c>
      <c r="J115" s="13" t="n">
        <f aca="false">IF(G115=0,"",I115/G115)</f>
        <v>0.0626692506853819</v>
      </c>
    </row>
    <row r="116" customFormat="false" ht="15" hidden="false" customHeight="false" outlineLevel="0" collapsed="false">
      <c r="A116" s="3" t="n">
        <v>16602</v>
      </c>
      <c r="B116" s="3" t="n">
        <v>223904</v>
      </c>
      <c r="C116" s="18" t="n">
        <v>917</v>
      </c>
      <c r="D116" s="18" t="n">
        <v>917</v>
      </c>
      <c r="E116" s="19" t="n">
        <v>306.789948008963</v>
      </c>
      <c r="F116" s="19" t="n">
        <v>329.77442579363</v>
      </c>
      <c r="G116" s="12" t="n">
        <f aca="false">E116/Combined_Summary!$B$23</f>
        <v>1227.15979203585</v>
      </c>
      <c r="H116" s="12" t="n">
        <f aca="false">F116/Combined_Summary!$B$23</f>
        <v>1319.09770317452</v>
      </c>
      <c r="I116" s="12" t="n">
        <f aca="false">H116-G116</f>
        <v>91.9379111386695</v>
      </c>
      <c r="J116" s="13" t="n">
        <f aca="false">IF(G116=0,"",I116/G116)</f>
        <v>0.0749192662074961</v>
      </c>
    </row>
    <row r="117" customFormat="false" ht="15" hidden="false" customHeight="false" outlineLevel="0" collapsed="false">
      <c r="A117" s="3" t="n">
        <v>16611</v>
      </c>
      <c r="B117" s="3" t="n">
        <v>593678</v>
      </c>
      <c r="C117" s="18" t="n">
        <v>16</v>
      </c>
      <c r="D117" s="18" t="n">
        <v>16</v>
      </c>
      <c r="E117" s="19" t="n">
        <v>320.335736751556</v>
      </c>
      <c r="F117" s="19" t="n">
        <v>358.309715270996</v>
      </c>
      <c r="G117" s="12" t="n">
        <f aca="false">E117/Combined_Summary!$B$23</f>
        <v>1281.34294700623</v>
      </c>
      <c r="H117" s="12" t="n">
        <f aca="false">F117/Combined_Summary!$B$23</f>
        <v>1433.23886108398</v>
      </c>
      <c r="I117" s="12" t="n">
        <f aca="false">H117-G117</f>
        <v>151.895914077759</v>
      </c>
      <c r="J117" s="13" t="n">
        <f aca="false">IF(G117=0,"",I117/G117)</f>
        <v>0.118544308869576</v>
      </c>
    </row>
    <row r="118" customFormat="false" ht="15" hidden="false" customHeight="false" outlineLevel="0" collapsed="false">
      <c r="A118" s="3" t="n">
        <v>16612</v>
      </c>
      <c r="B118" s="3" t="n">
        <v>232117</v>
      </c>
      <c r="C118" s="18" t="n">
        <v>575</v>
      </c>
      <c r="D118" s="18" t="n">
        <v>575</v>
      </c>
      <c r="E118" s="19" t="n">
        <v>334.574698871115</v>
      </c>
      <c r="F118" s="19" t="n">
        <v>364.411036562712</v>
      </c>
      <c r="G118" s="12" t="n">
        <f aca="false">E118/Combined_Summary!$B$23</f>
        <v>1338.29879548446</v>
      </c>
      <c r="H118" s="12" t="n">
        <f aca="false">F118/Combined_Summary!$B$23</f>
        <v>1457.64414625085</v>
      </c>
      <c r="I118" s="12" t="n">
        <f aca="false">H118-G118</f>
        <v>119.345350766389</v>
      </c>
      <c r="J118" s="13" t="n">
        <f aca="false">IF(G118=0,"",I118/G118)</f>
        <v>0.0891769096475847</v>
      </c>
    </row>
    <row r="119" customFormat="false" ht="15" hidden="false" customHeight="false" outlineLevel="0" collapsed="false">
      <c r="A119" s="3" t="n">
        <v>16624</v>
      </c>
      <c r="B119" s="3" t="n">
        <v>224099</v>
      </c>
      <c r="C119" s="18" t="n">
        <v>545</v>
      </c>
      <c r="D119" s="18" t="n">
        <v>545</v>
      </c>
      <c r="E119" s="19" t="n">
        <v>342.046205328145</v>
      </c>
      <c r="F119" s="19" t="n">
        <v>370.617377128951</v>
      </c>
      <c r="G119" s="12" t="n">
        <f aca="false">E119/Combined_Summary!$B$23</f>
        <v>1368.18482131258</v>
      </c>
      <c r="H119" s="12" t="n">
        <f aca="false">F119/Combined_Summary!$B$23</f>
        <v>1482.4695085158</v>
      </c>
      <c r="I119" s="12" t="n">
        <f aca="false">H119-G119</f>
        <v>114.284687203223</v>
      </c>
      <c r="J119" s="13" t="n">
        <f aca="false">IF(G119=0,"",I119/G119)</f>
        <v>0.0835301528148682</v>
      </c>
    </row>
    <row r="120" customFormat="false" ht="15" hidden="false" customHeight="false" outlineLevel="0" collapsed="false">
      <c r="A120" s="3" t="n">
        <v>16625</v>
      </c>
      <c r="B120" s="3" t="n">
        <v>224042</v>
      </c>
      <c r="C120" s="18" t="n">
        <v>718</v>
      </c>
      <c r="D120" s="18" t="n">
        <v>718</v>
      </c>
      <c r="E120" s="19" t="n">
        <v>321.914580082163</v>
      </c>
      <c r="F120" s="19" t="n">
        <v>355.896725827273</v>
      </c>
      <c r="G120" s="12" t="n">
        <f aca="false">E120/Combined_Summary!$B$23</f>
        <v>1287.65832032865</v>
      </c>
      <c r="H120" s="12" t="n">
        <f aca="false">F120/Combined_Summary!$B$23</f>
        <v>1423.58690330909</v>
      </c>
      <c r="I120" s="12" t="n">
        <f aca="false">H120-G120</f>
        <v>135.928582980441</v>
      </c>
      <c r="J120" s="13" t="n">
        <f aca="false">IF(G120=0,"",I120/G120)</f>
        <v>0.10556261768708</v>
      </c>
    </row>
    <row r="121" customFormat="false" ht="15" hidden="false" customHeight="false" outlineLevel="0" collapsed="false">
      <c r="A121" s="3" t="n">
        <v>16645</v>
      </c>
      <c r="B121" s="3" t="n">
        <v>224190</v>
      </c>
      <c r="C121" s="18" t="n">
        <v>666</v>
      </c>
      <c r="D121" s="18" t="n">
        <v>666</v>
      </c>
      <c r="E121" s="19" t="n">
        <v>308.102978520207</v>
      </c>
      <c r="F121" s="19" t="n">
        <v>337.598088089768</v>
      </c>
      <c r="G121" s="12" t="n">
        <f aca="false">E121/Combined_Summary!$B$23</f>
        <v>1232.41191408083</v>
      </c>
      <c r="H121" s="12" t="n">
        <f aca="false">F121/Combined_Summary!$B$23</f>
        <v>1350.39235235907</v>
      </c>
      <c r="I121" s="12" t="n">
        <f aca="false">H121-G121</f>
        <v>117.980438278244</v>
      </c>
      <c r="J121" s="13" t="n">
        <f aca="false">IF(G121=0,"",I121/G121)</f>
        <v>0.0957313353841094</v>
      </c>
    </row>
    <row r="122" customFormat="false" ht="15" hidden="false" customHeight="false" outlineLevel="0" collapsed="false">
      <c r="A122" s="3" t="n">
        <v>16657</v>
      </c>
      <c r="B122" s="3" t="n">
        <v>646341</v>
      </c>
      <c r="C122" s="18" t="n">
        <v>16</v>
      </c>
      <c r="D122" s="18" t="n">
        <v>16</v>
      </c>
      <c r="E122" s="19" t="n">
        <v>339.54914855957</v>
      </c>
      <c r="F122" s="19" t="n">
        <v>352.203168869019</v>
      </c>
      <c r="G122" s="12" t="n">
        <f aca="false">E122/Combined_Summary!$B$23</f>
        <v>1358.19659423828</v>
      </c>
      <c r="H122" s="12" t="n">
        <f aca="false">F122/Combined_Summary!$B$23</f>
        <v>1408.81267547607</v>
      </c>
      <c r="I122" s="12" t="n">
        <f aca="false">H122-G122</f>
        <v>50.6160812377932</v>
      </c>
      <c r="J122" s="13" t="n">
        <f aca="false">IF(G122=0,"",I122/G122)</f>
        <v>0.037267124253231</v>
      </c>
    </row>
    <row r="123" customFormat="false" ht="15" hidden="false" customHeight="false" outlineLevel="0" collapsed="false">
      <c r="A123" s="3" t="n">
        <v>16658</v>
      </c>
      <c r="B123" s="3" t="n">
        <v>646339</v>
      </c>
      <c r="C123" s="18" t="n">
        <v>16</v>
      </c>
      <c r="D123" s="18" t="n">
        <v>16</v>
      </c>
      <c r="E123" s="19" t="n">
        <v>285.009351730347</v>
      </c>
      <c r="F123" s="19" t="n">
        <v>319.935136795044</v>
      </c>
      <c r="G123" s="12" t="n">
        <f aca="false">E123/Combined_Summary!$B$23</f>
        <v>1140.03740692139</v>
      </c>
      <c r="H123" s="12" t="n">
        <f aca="false">F123/Combined_Summary!$B$23</f>
        <v>1279.74054718018</v>
      </c>
      <c r="I123" s="12" t="n">
        <f aca="false">H123-G123</f>
        <v>139.703140258789</v>
      </c>
      <c r="J123" s="13" t="n">
        <f aca="false">IF(G123=0,"",I123/G123)</f>
        <v>0.122542593261084</v>
      </c>
    </row>
    <row r="124" customFormat="false" ht="15" hidden="false" customHeight="false" outlineLevel="0" collapsed="false">
      <c r="A124" s="3" t="n">
        <v>16659</v>
      </c>
      <c r="B124" s="3" t="n">
        <v>224045</v>
      </c>
      <c r="C124" s="18" t="n">
        <v>621</v>
      </c>
      <c r="D124" s="18" t="n">
        <v>621</v>
      </c>
      <c r="E124" s="19" t="n">
        <v>335.664699032303</v>
      </c>
      <c r="F124" s="19" t="n">
        <v>365.223546149458</v>
      </c>
      <c r="G124" s="12" t="n">
        <f aca="false">E124/Combined_Summary!$B$23</f>
        <v>1342.65879612921</v>
      </c>
      <c r="H124" s="12" t="n">
        <f aca="false">F124/Combined_Summary!$B$23</f>
        <v>1460.89418459783</v>
      </c>
      <c r="I124" s="12" t="n">
        <f aca="false">H124-G124</f>
        <v>118.235388468621</v>
      </c>
      <c r="J124" s="13" t="n">
        <f aca="false">IF(G124=0,"",I124/G124)</f>
        <v>0.0880606367079152</v>
      </c>
    </row>
    <row r="125" customFormat="false" ht="15" hidden="false" customHeight="false" outlineLevel="0" collapsed="false">
      <c r="A125" s="3" t="n">
        <v>16660</v>
      </c>
      <c r="B125" s="3" t="n">
        <v>224194</v>
      </c>
      <c r="C125" s="18" t="n">
        <v>669</v>
      </c>
      <c r="D125" s="18" t="n">
        <v>669</v>
      </c>
      <c r="E125" s="19" t="n">
        <v>343.275267499801</v>
      </c>
      <c r="F125" s="19" t="n">
        <v>367.937609229209</v>
      </c>
      <c r="G125" s="12" t="n">
        <f aca="false">E125/Combined_Summary!$B$23</f>
        <v>1373.1010699992</v>
      </c>
      <c r="H125" s="12" t="n">
        <f aca="false">F125/Combined_Summary!$B$23</f>
        <v>1471.75043691684</v>
      </c>
      <c r="I125" s="12" t="n">
        <f aca="false">H125-G125</f>
        <v>98.6493669176316</v>
      </c>
      <c r="J125" s="13" t="n">
        <f aca="false">IF(G125=0,"",I125/G125)</f>
        <v>0.0718442138550579</v>
      </c>
    </row>
    <row r="126" customFormat="false" ht="15" hidden="false" customHeight="false" outlineLevel="0" collapsed="false">
      <c r="A126" s="3" t="n">
        <v>16685</v>
      </c>
      <c r="B126" s="3" t="n">
        <v>232145</v>
      </c>
      <c r="C126" s="18" t="n">
        <v>834</v>
      </c>
      <c r="D126" s="18" t="n">
        <v>834</v>
      </c>
      <c r="E126" s="19" t="n">
        <v>334.910590562889</v>
      </c>
      <c r="F126" s="19" t="n">
        <v>362.341332506505</v>
      </c>
      <c r="G126" s="12" t="n">
        <f aca="false">E126/Combined_Summary!$B$23</f>
        <v>1339.64236225156</v>
      </c>
      <c r="H126" s="12" t="n">
        <f aca="false">F126/Combined_Summary!$B$23</f>
        <v>1449.36533002602</v>
      </c>
      <c r="I126" s="12" t="n">
        <f aca="false">H126-G126</f>
        <v>109.722967774462</v>
      </c>
      <c r="J126" s="13" t="n">
        <f aca="false">IF(G126=0,"",I126/G126)</f>
        <v>0.0819046716244841</v>
      </c>
    </row>
    <row r="127" customFormat="false" ht="15" hidden="false" customHeight="false" outlineLevel="0" collapsed="false">
      <c r="A127" s="3" t="n">
        <v>16686</v>
      </c>
      <c r="B127" s="3" t="n">
        <v>224316</v>
      </c>
      <c r="C127" s="18" t="n">
        <v>572</v>
      </c>
      <c r="D127" s="18" t="n">
        <v>572</v>
      </c>
      <c r="E127" s="19" t="n">
        <v>334.572296909519</v>
      </c>
      <c r="F127" s="19" t="n">
        <v>365.616938570996</v>
      </c>
      <c r="G127" s="12" t="n">
        <f aca="false">E127/Combined_Summary!$B$23</f>
        <v>1338.28918763808</v>
      </c>
      <c r="H127" s="12" t="n">
        <f aca="false">F127/Combined_Summary!$B$23</f>
        <v>1462.46775428398</v>
      </c>
      <c r="I127" s="12" t="n">
        <f aca="false">H127-G127</f>
        <v>124.178566645909</v>
      </c>
      <c r="J127" s="13" t="n">
        <f aca="false">IF(G127=0,"",I127/G127)</f>
        <v>0.09278903826838</v>
      </c>
    </row>
    <row r="128" customFormat="false" ht="15" hidden="false" customHeight="false" outlineLevel="0" collapsed="false">
      <c r="A128" s="3" t="n">
        <v>16687</v>
      </c>
      <c r="B128" s="3" t="n">
        <v>224227</v>
      </c>
      <c r="C128" s="18" t="n">
        <v>784</v>
      </c>
      <c r="D128" s="18" t="n">
        <v>784</v>
      </c>
      <c r="E128" s="19" t="n">
        <v>325.917749745505</v>
      </c>
      <c r="F128" s="19" t="n">
        <v>354.538669498599</v>
      </c>
      <c r="G128" s="12" t="n">
        <f aca="false">E128/Combined_Summary!$B$23</f>
        <v>1303.67099898202</v>
      </c>
      <c r="H128" s="12" t="n">
        <f aca="false">F128/Combined_Summary!$B$23</f>
        <v>1418.1546779944</v>
      </c>
      <c r="I128" s="12" t="n">
        <f aca="false">H128-G128</f>
        <v>114.483679012376</v>
      </c>
      <c r="J128" s="13" t="n">
        <f aca="false">IF(G128=0,"",I128/G128)</f>
        <v>0.0878163885687199</v>
      </c>
    </row>
    <row r="129" customFormat="false" ht="15" hidden="false" customHeight="false" outlineLevel="0" collapsed="false">
      <c r="A129" s="3" t="n">
        <v>16688</v>
      </c>
      <c r="B129" s="3" t="n">
        <v>223960</v>
      </c>
      <c r="C129" s="18" t="n">
        <v>1184</v>
      </c>
      <c r="D129" s="18" t="n">
        <v>1184</v>
      </c>
      <c r="E129" s="19" t="n">
        <v>321.974678039551</v>
      </c>
      <c r="F129" s="19" t="n">
        <v>344.886827829722</v>
      </c>
      <c r="G129" s="12" t="n">
        <f aca="false">E129/Combined_Summary!$B$23</f>
        <v>1287.8987121582</v>
      </c>
      <c r="H129" s="12" t="n">
        <f aca="false">F129/Combined_Summary!$B$23</f>
        <v>1379.54731131889</v>
      </c>
      <c r="I129" s="12" t="n">
        <f aca="false">H129-G129</f>
        <v>91.6485991606842</v>
      </c>
      <c r="J129" s="13" t="n">
        <f aca="false">IF(G129=0,"",I129/G129)</f>
        <v>0.0711613407913915</v>
      </c>
    </row>
    <row r="130" customFormat="false" ht="15" hidden="false" customHeight="false" outlineLevel="0" collapsed="false">
      <c r="A130" s="3" t="n">
        <v>16696</v>
      </c>
      <c r="B130" s="3" t="n">
        <v>224183</v>
      </c>
      <c r="C130" s="18" t="n">
        <v>794</v>
      </c>
      <c r="D130" s="18" t="n">
        <v>794</v>
      </c>
      <c r="E130" s="19" t="n">
        <v>336.45911534307</v>
      </c>
      <c r="F130" s="19" t="n">
        <v>366.374139271695</v>
      </c>
      <c r="G130" s="12" t="n">
        <f aca="false">E130/Combined_Summary!$B$23</f>
        <v>1345.83646137228</v>
      </c>
      <c r="H130" s="12" t="n">
        <f aca="false">F130/Combined_Summary!$B$23</f>
        <v>1465.49655708678</v>
      </c>
      <c r="I130" s="12" t="n">
        <f aca="false">H130-G130</f>
        <v>119.660095714502</v>
      </c>
      <c r="J130" s="13" t="n">
        <f aca="false">IF(G130=0,"",I130/G130)</f>
        <v>0.0889113195762955</v>
      </c>
    </row>
    <row r="131" customFormat="false" ht="15" hidden="false" customHeight="false" outlineLevel="0" collapsed="false">
      <c r="A131" s="3" t="n">
        <v>16697</v>
      </c>
      <c r="B131" s="3" t="n">
        <v>224166</v>
      </c>
      <c r="C131" s="18" t="n">
        <v>714</v>
      </c>
      <c r="D131" s="18" t="n">
        <v>714</v>
      </c>
      <c r="E131" s="19" t="n">
        <v>272.790257755782</v>
      </c>
      <c r="F131" s="19" t="n">
        <v>308.742724934212</v>
      </c>
      <c r="G131" s="12" t="n">
        <f aca="false">E131/Combined_Summary!$B$23</f>
        <v>1091.16103102313</v>
      </c>
      <c r="H131" s="12" t="n">
        <f aca="false">F131/Combined_Summary!$B$23</f>
        <v>1234.97089973685</v>
      </c>
      <c r="I131" s="12" t="n">
        <f aca="false">H131-G131</f>
        <v>143.809868713721</v>
      </c>
      <c r="J131" s="13" t="n">
        <f aca="false">IF(G131=0,"",I131/G131)</f>
        <v>0.131795275513897</v>
      </c>
    </row>
    <row r="132" customFormat="false" ht="15" hidden="false" customHeight="false" outlineLevel="0" collapsed="false">
      <c r="A132" s="3" t="n">
        <v>16708</v>
      </c>
      <c r="B132" s="3" t="n">
        <v>224169</v>
      </c>
      <c r="C132" s="18" t="n">
        <v>584</v>
      </c>
      <c r="D132" s="18" t="n">
        <v>584</v>
      </c>
      <c r="E132" s="19" t="n">
        <v>177.09263355438</v>
      </c>
      <c r="F132" s="19" t="n">
        <v>228.77673343763</v>
      </c>
      <c r="G132" s="12" t="n">
        <f aca="false">E132/Combined_Summary!$B$23</f>
        <v>708.370534217521</v>
      </c>
      <c r="H132" s="12" t="n">
        <f aca="false">F132/Combined_Summary!$B$23</f>
        <v>915.106933750518</v>
      </c>
      <c r="I132" s="12" t="n">
        <f aca="false">H132-G132</f>
        <v>206.736399532998</v>
      </c>
      <c r="J132" s="13" t="n">
        <f aca="false">IF(G132=0,"",I132/G132)</f>
        <v>0.29184782475652</v>
      </c>
    </row>
    <row r="133" customFormat="false" ht="15" hidden="false" customHeight="false" outlineLevel="0" collapsed="false">
      <c r="A133" s="3" t="n">
        <v>16716</v>
      </c>
      <c r="B133" s="3" t="n">
        <v>451899</v>
      </c>
      <c r="C133" s="18" t="n">
        <v>452</v>
      </c>
      <c r="D133" s="18" t="n">
        <v>452</v>
      </c>
      <c r="E133" s="19" t="n">
        <v>337.64517777367</v>
      </c>
      <c r="F133" s="19" t="n">
        <v>383.995289861629</v>
      </c>
      <c r="G133" s="12" t="n">
        <f aca="false">E133/Combined_Summary!$B$23</f>
        <v>1350.58071109468</v>
      </c>
      <c r="H133" s="12" t="n">
        <f aca="false">F133/Combined_Summary!$B$23</f>
        <v>1535.98115944651</v>
      </c>
      <c r="I133" s="12" t="n">
        <f aca="false">H133-G133</f>
        <v>185.400448351835</v>
      </c>
      <c r="J133" s="13" t="n">
        <f aca="false">IF(G133=0,"",I133/G133)</f>
        <v>0.137274615895827</v>
      </c>
    </row>
    <row r="134" customFormat="false" ht="15" hidden="false" customHeight="false" outlineLevel="0" collapsed="false">
      <c r="A134" s="3" t="n">
        <v>16717</v>
      </c>
      <c r="B134" s="3" t="n">
        <v>232143</v>
      </c>
      <c r="C134" s="18" t="n">
        <v>813</v>
      </c>
      <c r="D134" s="18" t="n">
        <v>813</v>
      </c>
      <c r="E134" s="19" t="n">
        <v>345.1142097323</v>
      </c>
      <c r="F134" s="19" t="n">
        <v>367.273858383573</v>
      </c>
      <c r="G134" s="12" t="n">
        <f aca="false">E134/Combined_Summary!$B$23</f>
        <v>1380.4568389292</v>
      </c>
      <c r="H134" s="12" t="n">
        <f aca="false">F134/Combined_Summary!$B$23</f>
        <v>1469.09543353429</v>
      </c>
      <c r="I134" s="12" t="n">
        <f aca="false">H134-G134</f>
        <v>88.638594605093</v>
      </c>
      <c r="J134" s="13" t="n">
        <f aca="false">IF(G134=0,"",I134/G134)</f>
        <v>0.0642096095332098</v>
      </c>
    </row>
    <row r="135" customFormat="false" ht="15" hidden="false" customHeight="false" outlineLevel="0" collapsed="false">
      <c r="A135" s="3" t="n">
        <v>16718</v>
      </c>
      <c r="B135" s="3" t="n">
        <v>224174</v>
      </c>
      <c r="C135" s="18" t="n">
        <v>709</v>
      </c>
      <c r="D135" s="18" t="n">
        <v>709</v>
      </c>
      <c r="E135" s="19" t="n">
        <v>258.655890557595</v>
      </c>
      <c r="F135" s="19" t="n">
        <v>305.596027498017</v>
      </c>
      <c r="G135" s="12" t="n">
        <f aca="false">E135/Combined_Summary!$B$23</f>
        <v>1034.62356223038</v>
      </c>
      <c r="H135" s="12" t="n">
        <f aca="false">F135/Combined_Summary!$B$23</f>
        <v>1222.38410999207</v>
      </c>
      <c r="I135" s="12" t="n">
        <f aca="false">H135-G135</f>
        <v>187.760547761688</v>
      </c>
      <c r="J135" s="13" t="n">
        <f aca="false">IF(G135=0,"",I135/G135)</f>
        <v>0.181477161951469</v>
      </c>
    </row>
    <row r="136" customFormat="false" ht="15" hidden="false" customHeight="false" outlineLevel="0" collapsed="false">
      <c r="A136" s="3" t="n">
        <v>16719</v>
      </c>
      <c r="B136" s="3" t="n">
        <v>223986</v>
      </c>
      <c r="C136" s="18" t="n">
        <v>738</v>
      </c>
      <c r="D136" s="18" t="n">
        <v>738</v>
      </c>
      <c r="E136" s="19" t="n">
        <v>228.565730846994</v>
      </c>
      <c r="F136" s="19" t="n">
        <v>271.808245082535</v>
      </c>
      <c r="G136" s="12" t="n">
        <f aca="false">E136/Combined_Summary!$B$23</f>
        <v>914.262923387977</v>
      </c>
      <c r="H136" s="12" t="n">
        <f aca="false">F136/Combined_Summary!$B$23</f>
        <v>1087.23298033014</v>
      </c>
      <c r="I136" s="12" t="n">
        <f aca="false">H136-G136</f>
        <v>172.970056942162</v>
      </c>
      <c r="J136" s="13" t="n">
        <f aca="false">IF(G136=0,"",I136/G136)</f>
        <v>0.189190715840459</v>
      </c>
    </row>
    <row r="137" customFormat="false" ht="15" hidden="false" customHeight="false" outlineLevel="0" collapsed="false">
      <c r="A137" s="3" t="n">
        <v>16726</v>
      </c>
      <c r="B137" s="3" t="n">
        <v>224369</v>
      </c>
      <c r="C137" s="18" t="n">
        <v>794</v>
      </c>
      <c r="D137" s="18" t="n">
        <v>794</v>
      </c>
      <c r="E137" s="19" t="n">
        <v>309.679704733399</v>
      </c>
      <c r="F137" s="19" t="n">
        <v>332.287413657162</v>
      </c>
      <c r="G137" s="12" t="n">
        <f aca="false">E137/Combined_Summary!$B$23</f>
        <v>1238.7188189336</v>
      </c>
      <c r="H137" s="12" t="n">
        <f aca="false">F137/Combined_Summary!$B$23</f>
        <v>1329.14965462865</v>
      </c>
      <c r="I137" s="12" t="n">
        <f aca="false">H137-G137</f>
        <v>90.4308356950505</v>
      </c>
      <c r="J137" s="13" t="n">
        <f aca="false">IF(G137=0,"",I137/G137)</f>
        <v>0.0730035213099464</v>
      </c>
    </row>
    <row r="138" customFormat="false" ht="15" hidden="false" customHeight="false" outlineLevel="0" collapsed="false">
      <c r="A138" s="3" t="n">
        <v>16731</v>
      </c>
      <c r="B138" s="3" t="n">
        <v>224313</v>
      </c>
      <c r="C138" s="18" t="n">
        <v>818</v>
      </c>
      <c r="D138" s="18" t="n">
        <v>818</v>
      </c>
      <c r="E138" s="19" t="n">
        <v>295.649282553377</v>
      </c>
      <c r="F138" s="19" t="n">
        <v>336.761419366216</v>
      </c>
      <c r="G138" s="12" t="n">
        <f aca="false">E138/Combined_Summary!$B$23</f>
        <v>1182.59713021351</v>
      </c>
      <c r="H138" s="12" t="n">
        <f aca="false">F138/Combined_Summary!$B$23</f>
        <v>1347.04567746487</v>
      </c>
      <c r="I138" s="12" t="n">
        <f aca="false">H138-G138</f>
        <v>164.448547251358</v>
      </c>
      <c r="J138" s="13" t="n">
        <f aca="false">IF(G138=0,"",I138/G138)</f>
        <v>0.13905711678978</v>
      </c>
    </row>
    <row r="139" customFormat="false" ht="15" hidden="false" customHeight="false" outlineLevel="0" collapsed="false">
      <c r="A139" s="3" t="n">
        <v>16739</v>
      </c>
      <c r="B139" s="3" t="n">
        <v>224308</v>
      </c>
      <c r="C139" s="18" t="n">
        <v>631</v>
      </c>
      <c r="D139" s="18" t="n">
        <v>631</v>
      </c>
      <c r="E139" s="19" t="n">
        <v>324.218761752411</v>
      </c>
      <c r="F139" s="19" t="n">
        <v>350.090118831387</v>
      </c>
      <c r="G139" s="12" t="n">
        <f aca="false">E139/Combined_Summary!$B$23</f>
        <v>1296.87504700964</v>
      </c>
      <c r="H139" s="12" t="n">
        <f aca="false">F139/Combined_Summary!$B$23</f>
        <v>1400.36047532555</v>
      </c>
      <c r="I139" s="12" t="n">
        <f aca="false">H139-G139</f>
        <v>103.485428315902</v>
      </c>
      <c r="J139" s="13" t="n">
        <f aca="false">IF(G139=0,"",I139/G139)</f>
        <v>0.0797959900258085</v>
      </c>
    </row>
    <row r="140" customFormat="false" ht="15" hidden="false" customHeight="false" outlineLevel="0" collapsed="false">
      <c r="A140" s="3" t="n">
        <v>16740</v>
      </c>
      <c r="B140" s="3" t="n">
        <v>224185</v>
      </c>
      <c r="C140" s="18" t="n">
        <v>658</v>
      </c>
      <c r="D140" s="18" t="n">
        <v>658</v>
      </c>
      <c r="E140" s="19" t="n">
        <v>335.186254304231</v>
      </c>
      <c r="F140" s="19" t="n">
        <v>362.618271894368</v>
      </c>
      <c r="G140" s="12" t="n">
        <f aca="false">E140/Combined_Summary!$B$23</f>
        <v>1340.74501721692</v>
      </c>
      <c r="H140" s="12" t="n">
        <f aca="false">F140/Combined_Summary!$B$23</f>
        <v>1450.47308757747</v>
      </c>
      <c r="I140" s="12" t="n">
        <f aca="false">H140-G140</f>
        <v>109.728070360549</v>
      </c>
      <c r="J140" s="13" t="n">
        <f aca="false">IF(G140=0,"",I140/G140)</f>
        <v>0.0818411174022626</v>
      </c>
    </row>
    <row r="141" customFormat="false" ht="15" hidden="false" customHeight="false" outlineLevel="0" collapsed="false">
      <c r="A141" s="3" t="n">
        <v>16751</v>
      </c>
      <c r="B141" s="3" t="n">
        <v>224314</v>
      </c>
      <c r="C141" s="18" t="n">
        <v>844</v>
      </c>
      <c r="D141" s="18" t="n">
        <v>844</v>
      </c>
      <c r="E141" s="19" t="n">
        <v>210.76224189234</v>
      </c>
      <c r="F141" s="19" t="n">
        <v>261.356781367442</v>
      </c>
      <c r="G141" s="12" t="n">
        <f aca="false">E141/Combined_Summary!$B$23</f>
        <v>843.048967569361</v>
      </c>
      <c r="H141" s="12" t="n">
        <f aca="false">F141/Combined_Summary!$B$23</f>
        <v>1045.42712546977</v>
      </c>
      <c r="I141" s="12" t="n">
        <f aca="false">H141-G141</f>
        <v>202.378157900408</v>
      </c>
      <c r="J141" s="13" t="n">
        <f aca="false">IF(G141=0,"",I141/G141)</f>
        <v>0.240055045063272</v>
      </c>
    </row>
    <row r="142" customFormat="false" ht="15" hidden="false" customHeight="false" outlineLevel="0" collapsed="false">
      <c r="A142" s="3" t="n">
        <v>21281</v>
      </c>
      <c r="B142" s="3" t="n">
        <v>232131</v>
      </c>
      <c r="C142" s="18" t="n">
        <v>834</v>
      </c>
      <c r="D142" s="18" t="n">
        <v>834</v>
      </c>
      <c r="E142" s="19" t="n">
        <v>342.873128932157</v>
      </c>
      <c r="F142" s="19" t="n">
        <v>362.455589953086</v>
      </c>
      <c r="G142" s="12" t="n">
        <f aca="false">E142/Combined_Summary!$B$23</f>
        <v>1371.49251572863</v>
      </c>
      <c r="H142" s="12" t="n">
        <f aca="false">F142/Combined_Summary!$B$23</f>
        <v>1449.82235981235</v>
      </c>
      <c r="I142" s="12" t="n">
        <f aca="false">H142-G142</f>
        <v>78.3298440837177</v>
      </c>
      <c r="J142" s="13" t="n">
        <f aca="false">IF(G142=0,"",I142/G142)</f>
        <v>0.0571128483643994</v>
      </c>
    </row>
    <row r="143" customFormat="false" ht="15" hidden="false" customHeight="false" outlineLevel="0" collapsed="false">
      <c r="A143" s="3" t="n">
        <v>21282</v>
      </c>
      <c r="B143" s="3" t="n">
        <v>224101</v>
      </c>
      <c r="C143" s="18" t="n">
        <v>855</v>
      </c>
      <c r="D143" s="18" t="n">
        <v>855</v>
      </c>
      <c r="E143" s="19" t="n">
        <v>341.038438107675</v>
      </c>
      <c r="F143" s="19" t="n">
        <v>367.287733307777</v>
      </c>
      <c r="G143" s="12" t="n">
        <f aca="false">E143/Combined_Summary!$B$23</f>
        <v>1364.1537524307</v>
      </c>
      <c r="H143" s="12" t="n">
        <f aca="false">F143/Combined_Summary!$B$23</f>
        <v>1469.15093323111</v>
      </c>
      <c r="I143" s="12" t="n">
        <f aca="false">H143-G143</f>
        <v>104.99718080041</v>
      </c>
      <c r="J143" s="13" t="n">
        <f aca="false">IF(G143=0,"",I143/G143)</f>
        <v>0.0769687292310872</v>
      </c>
    </row>
    <row r="144" customFormat="false" ht="15" hidden="false" customHeight="false" outlineLevel="0" collapsed="false">
      <c r="A144" s="3" t="n">
        <v>21287</v>
      </c>
      <c r="B144" s="3" t="n">
        <v>223366</v>
      </c>
      <c r="C144" s="18" t="n">
        <v>1330</v>
      </c>
      <c r="D144" s="18" t="n">
        <v>1330</v>
      </c>
      <c r="E144" s="19" t="n">
        <v>346.199558017128</v>
      </c>
      <c r="F144" s="19" t="n">
        <v>381.86059007573</v>
      </c>
      <c r="G144" s="12" t="n">
        <f aca="false">E144/Combined_Summary!$B$23</f>
        <v>1384.79823206851</v>
      </c>
      <c r="H144" s="12" t="n">
        <f aca="false">F144/Combined_Summary!$B$23</f>
        <v>1527.44236030292</v>
      </c>
      <c r="I144" s="12" t="n">
        <f aca="false">H144-G144</f>
        <v>142.644128234404</v>
      </c>
      <c r="J144" s="13" t="n">
        <f aca="false">IF(G144=0,"",I144/G144)</f>
        <v>0.103007156516464</v>
      </c>
    </row>
    <row r="145" customFormat="false" ht="15" hidden="false" customHeight="false" outlineLevel="0" collapsed="false">
      <c r="A145" s="3" t="n">
        <v>21288</v>
      </c>
      <c r="B145" s="3" t="n">
        <v>224025</v>
      </c>
      <c r="C145" s="18" t="n">
        <v>1054</v>
      </c>
      <c r="D145" s="18" t="n">
        <v>1054</v>
      </c>
      <c r="E145" s="19" t="n">
        <v>341.89864565073</v>
      </c>
      <c r="F145" s="19" t="n">
        <v>375.10701040163</v>
      </c>
      <c r="G145" s="12" t="n">
        <f aca="false">E145/Combined_Summary!$B$23</f>
        <v>1367.59458260292</v>
      </c>
      <c r="H145" s="12" t="n">
        <f aca="false">F145/Combined_Summary!$B$23</f>
        <v>1500.42804160652</v>
      </c>
      <c r="I145" s="12" t="n">
        <f aca="false">H145-G145</f>
        <v>132.833459003601</v>
      </c>
      <c r="J145" s="13" t="n">
        <f aca="false">IF(G145=0,"",I145/G145)</f>
        <v>0.0971292667383789</v>
      </c>
    </row>
    <row r="146" customFormat="false" ht="15" hidden="false" customHeight="false" outlineLevel="0" collapsed="false">
      <c r="A146" s="3" t="n">
        <v>21289</v>
      </c>
      <c r="B146" s="3" t="n">
        <v>224002</v>
      </c>
      <c r="C146" s="18" t="n">
        <v>638</v>
      </c>
      <c r="D146" s="18" t="n">
        <v>638</v>
      </c>
      <c r="E146" s="19" t="n">
        <v>325.377198329914</v>
      </c>
      <c r="F146" s="19" t="n">
        <v>360.50568485559</v>
      </c>
      <c r="G146" s="12" t="n">
        <f aca="false">E146/Combined_Summary!$B$23</f>
        <v>1301.50879331965</v>
      </c>
      <c r="H146" s="12" t="n">
        <f aca="false">F146/Combined_Summary!$B$23</f>
        <v>1442.02273942236</v>
      </c>
      <c r="I146" s="12" t="n">
        <f aca="false">H146-G146</f>
        <v>140.513946102705</v>
      </c>
      <c r="J146" s="13" t="n">
        <f aca="false">IF(G146=0,"",I146/G146)</f>
        <v>0.107962348640232</v>
      </c>
    </row>
    <row r="147" customFormat="false" ht="15" hidden="false" customHeight="false" outlineLevel="0" collapsed="false">
      <c r="A147" s="3" t="n">
        <v>21301</v>
      </c>
      <c r="B147" s="3" t="n">
        <v>224096</v>
      </c>
      <c r="C147" s="18" t="n">
        <v>839</v>
      </c>
      <c r="D147" s="18" t="n">
        <v>839</v>
      </c>
      <c r="E147" s="19" t="n">
        <v>340.931287417679</v>
      </c>
      <c r="F147" s="19" t="n">
        <v>369.140714879542</v>
      </c>
      <c r="G147" s="12" t="n">
        <f aca="false">E147/Combined_Summary!$B$23</f>
        <v>1363.72514967072</v>
      </c>
      <c r="H147" s="12" t="n">
        <f aca="false">F147/Combined_Summary!$B$23</f>
        <v>1476.56285951817</v>
      </c>
      <c r="I147" s="12" t="n">
        <f aca="false">H147-G147</f>
        <v>112.837709847451</v>
      </c>
      <c r="J147" s="13" t="n">
        <f aca="false">IF(G147=0,"",I147/G147)</f>
        <v>0.0827422665591354</v>
      </c>
    </row>
    <row r="148" customFormat="false" ht="15" hidden="false" customHeight="false" outlineLevel="0" collapsed="false">
      <c r="A148" s="3" t="n">
        <v>21302</v>
      </c>
      <c r="B148" s="3" t="n">
        <v>224091</v>
      </c>
      <c r="C148" s="18" t="n">
        <v>830</v>
      </c>
      <c r="D148" s="18" t="n">
        <v>830</v>
      </c>
      <c r="E148" s="19" t="n">
        <v>366.648081464653</v>
      </c>
      <c r="F148" s="19" t="n">
        <v>391.639757087432</v>
      </c>
      <c r="G148" s="12" t="n">
        <f aca="false">E148/Combined_Summary!$B$23</f>
        <v>1466.59232585861</v>
      </c>
      <c r="H148" s="12" t="n">
        <f aca="false">F148/Combined_Summary!$B$23</f>
        <v>1566.55902834973</v>
      </c>
      <c r="I148" s="12" t="n">
        <f aca="false">H148-G148</f>
        <v>99.9667024911169</v>
      </c>
      <c r="J148" s="13" t="n">
        <f aca="false">IF(G148=0,"",I148/G148)</f>
        <v>0.0681625702852303</v>
      </c>
    </row>
    <row r="149" customFormat="false" ht="15" hidden="false" customHeight="false" outlineLevel="0" collapsed="false">
      <c r="A149" s="3" t="n">
        <v>21303</v>
      </c>
      <c r="B149" s="3" t="n">
        <v>224030</v>
      </c>
      <c r="C149" s="18" t="n">
        <v>746</v>
      </c>
      <c r="D149" s="18" t="n">
        <v>746</v>
      </c>
      <c r="E149" s="19" t="n">
        <v>340.323792301618</v>
      </c>
      <c r="F149" s="19" t="n">
        <v>368.056682699168</v>
      </c>
      <c r="G149" s="12" t="n">
        <f aca="false">E149/Combined_Summary!$B$23</f>
        <v>1361.29516920647</v>
      </c>
      <c r="H149" s="12" t="n">
        <f aca="false">F149/Combined_Summary!$B$23</f>
        <v>1472.22673079667</v>
      </c>
      <c r="I149" s="12" t="n">
        <f aca="false">H149-G149</f>
        <v>110.9315615902</v>
      </c>
      <c r="J149" s="13" t="n">
        <f aca="false">IF(G149=0,"",I149/G149)</f>
        <v>0.0814897195696835</v>
      </c>
    </row>
    <row r="150" customFormat="false" ht="15" hidden="false" customHeight="false" outlineLevel="0" collapsed="false">
      <c r="A150" s="3" t="n">
        <v>21312</v>
      </c>
      <c r="B150" s="3" t="n">
        <v>224108</v>
      </c>
      <c r="C150" s="18" t="n">
        <v>211</v>
      </c>
      <c r="D150" s="18" t="n">
        <v>211</v>
      </c>
      <c r="E150" s="19" t="n">
        <v>315.343879301966</v>
      </c>
      <c r="F150" s="19" t="n">
        <v>348.354099219444</v>
      </c>
      <c r="G150" s="12" t="n">
        <f aca="false">E150/Combined_Summary!$B$23</f>
        <v>1261.37551720786</v>
      </c>
      <c r="H150" s="12" t="n">
        <f aca="false">F150/Combined_Summary!$B$23</f>
        <v>1393.41639687778</v>
      </c>
      <c r="I150" s="12" t="n">
        <f aca="false">H150-G150</f>
        <v>132.040879669913</v>
      </c>
      <c r="J150" s="13" t="n">
        <f aca="false">IF(G150=0,"",I150/G150)</f>
        <v>0.104680071769741</v>
      </c>
    </row>
    <row r="151" customFormat="false" ht="15" hidden="false" customHeight="false" outlineLevel="0" collapsed="false">
      <c r="A151" s="3" t="n">
        <v>21313</v>
      </c>
      <c r="B151" s="3" t="n">
        <v>224077</v>
      </c>
      <c r="C151" s="18" t="n">
        <v>330</v>
      </c>
      <c r="D151" s="18" t="n">
        <v>330</v>
      </c>
      <c r="E151" s="19" t="n">
        <v>325.28221243656</v>
      </c>
      <c r="F151" s="19" t="n">
        <v>352.381473055753</v>
      </c>
      <c r="G151" s="12" t="n">
        <f aca="false">E151/Combined_Summary!$B$23</f>
        <v>1301.12884974624</v>
      </c>
      <c r="H151" s="12" t="n">
        <f aca="false">F151/Combined_Summary!$B$23</f>
        <v>1409.52589222301</v>
      </c>
      <c r="I151" s="12" t="n">
        <f aca="false">H151-G151</f>
        <v>108.397042476769</v>
      </c>
      <c r="J151" s="13" t="n">
        <f aca="false">IF(G151=0,"",I151/G151)</f>
        <v>0.0833099984662626</v>
      </c>
    </row>
    <row r="152" customFormat="false" ht="15" hidden="false" customHeight="false" outlineLevel="0" collapsed="false">
      <c r="A152" s="3" t="n">
        <v>21314</v>
      </c>
      <c r="B152" s="3" t="n">
        <v>232118</v>
      </c>
      <c r="C152" s="18" t="n">
        <v>771</v>
      </c>
      <c r="D152" s="18" t="n">
        <v>771</v>
      </c>
      <c r="E152" s="19" t="n">
        <v>325.555236420588</v>
      </c>
      <c r="F152" s="19" t="n">
        <v>349.305474346868</v>
      </c>
      <c r="G152" s="12" t="n">
        <f aca="false">E152/Combined_Summary!$B$23</f>
        <v>1302.22094568235</v>
      </c>
      <c r="H152" s="12" t="n">
        <f aca="false">F152/Combined_Summary!$B$23</f>
        <v>1397.22189738747</v>
      </c>
      <c r="I152" s="12" t="n">
        <f aca="false">H152-G152</f>
        <v>95.0009517051212</v>
      </c>
      <c r="J152" s="13" t="n">
        <f aca="false">IF(G152=0,"",I152/G152)</f>
        <v>0.0729530207758573</v>
      </c>
    </row>
    <row r="153" customFormat="false" ht="15" hidden="false" customHeight="false" outlineLevel="0" collapsed="false">
      <c r="A153" s="3" t="n">
        <v>21325</v>
      </c>
      <c r="B153" s="3" t="n">
        <v>596599</v>
      </c>
      <c r="C153" s="18" t="n">
        <v>16</v>
      </c>
      <c r="D153" s="18" t="n">
        <v>16</v>
      </c>
      <c r="E153" s="19" t="n">
        <v>336.826070785523</v>
      </c>
      <c r="F153" s="19" t="n">
        <v>346.85984992981</v>
      </c>
      <c r="G153" s="12" t="n">
        <f aca="false">E153/Combined_Summary!$B$23</f>
        <v>1347.30428314209</v>
      </c>
      <c r="H153" s="12" t="n">
        <f aca="false">F153/Combined_Summary!$B$23</f>
        <v>1387.43939971924</v>
      </c>
      <c r="I153" s="12" t="n">
        <f aca="false">H153-G153</f>
        <v>40.1351165771484</v>
      </c>
      <c r="J153" s="13" t="n">
        <f aca="false">IF(G153=0,"",I153/G153)</f>
        <v>0.0297891998706841</v>
      </c>
    </row>
    <row r="154" customFormat="false" ht="15" hidden="false" customHeight="false" outlineLevel="0" collapsed="false">
      <c r="A154" s="3" t="n">
        <v>21326</v>
      </c>
      <c r="B154" s="3" t="n">
        <v>224051</v>
      </c>
      <c r="C154" s="18" t="n">
        <v>646</v>
      </c>
      <c r="D154" s="18" t="n">
        <v>646</v>
      </c>
      <c r="E154" s="19" t="n">
        <v>300.721695938347</v>
      </c>
      <c r="F154" s="19" t="n">
        <v>347.418791000319</v>
      </c>
      <c r="G154" s="12" t="n">
        <f aca="false">E154/Combined_Summary!$B$23</f>
        <v>1202.88678375339</v>
      </c>
      <c r="H154" s="12" t="n">
        <f aca="false">F154/Combined_Summary!$B$23</f>
        <v>1389.67516400128</v>
      </c>
      <c r="I154" s="12" t="n">
        <f aca="false">H154-G154</f>
        <v>186.788380247889</v>
      </c>
      <c r="J154" s="13" t="n">
        <f aca="false">IF(G154=0,"",I154/G154)</f>
        <v>0.155283425481699</v>
      </c>
    </row>
    <row r="155" customFormat="false" ht="15" hidden="false" customHeight="false" outlineLevel="0" collapsed="false">
      <c r="A155" s="3" t="n">
        <v>21327</v>
      </c>
      <c r="B155" s="3" t="n">
        <v>223892</v>
      </c>
      <c r="C155" s="18" t="n">
        <v>804</v>
      </c>
      <c r="D155" s="18" t="n">
        <v>804</v>
      </c>
      <c r="E155" s="19" t="n">
        <v>316.015497881382</v>
      </c>
      <c r="F155" s="19" t="n">
        <v>353.779186267758</v>
      </c>
      <c r="G155" s="12" t="n">
        <f aca="false">E155/Combined_Summary!$B$23</f>
        <v>1264.06199152553</v>
      </c>
      <c r="H155" s="12" t="n">
        <f aca="false">F155/Combined_Summary!$B$23</f>
        <v>1415.11674507103</v>
      </c>
      <c r="I155" s="12" t="n">
        <f aca="false">H155-G155</f>
        <v>151.054753545505</v>
      </c>
      <c r="J155" s="13" t="n">
        <f aca="false">IF(G155=0,"",I155/G155)</f>
        <v>0.119499482270806</v>
      </c>
    </row>
    <row r="156" customFormat="false" ht="15" hidden="false" customHeight="false" outlineLevel="0" collapsed="false">
      <c r="A156" s="3" t="n">
        <v>21338</v>
      </c>
      <c r="B156" s="3" t="n">
        <v>649949</v>
      </c>
      <c r="C156" s="18" t="n">
        <v>16</v>
      </c>
      <c r="D156" s="18" t="n">
        <v>16</v>
      </c>
      <c r="E156" s="19" t="n">
        <v>337.588886260986</v>
      </c>
      <c r="F156" s="19" t="n">
        <v>350.675239562988</v>
      </c>
      <c r="G156" s="12" t="n">
        <f aca="false">E156/Combined_Summary!$B$23</f>
        <v>1350.35554504395</v>
      </c>
      <c r="H156" s="12" t="n">
        <f aca="false">F156/Combined_Summary!$B$23</f>
        <v>1402.70095825195</v>
      </c>
      <c r="I156" s="12" t="n">
        <f aca="false">H156-G156</f>
        <v>52.3454132080078</v>
      </c>
      <c r="J156" s="13" t="n">
        <f aca="false">IF(G156=0,"",I156/G156)</f>
        <v>0.0387641709623256</v>
      </c>
    </row>
    <row r="157" customFormat="false" ht="15" hidden="false" customHeight="false" outlineLevel="0" collapsed="false">
      <c r="A157" s="3" t="n">
        <v>21343</v>
      </c>
      <c r="B157" s="3" t="n">
        <v>224087</v>
      </c>
      <c r="C157" s="18" t="n">
        <v>585</v>
      </c>
      <c r="D157" s="18" t="n">
        <v>585</v>
      </c>
      <c r="E157" s="19" t="n">
        <v>348.976743968735</v>
      </c>
      <c r="F157" s="19" t="n">
        <v>376.647593049922</v>
      </c>
      <c r="G157" s="12" t="n">
        <f aca="false">E157/Combined_Summary!$B$23</f>
        <v>1395.90697587494</v>
      </c>
      <c r="H157" s="12" t="n">
        <f aca="false">F157/Combined_Summary!$B$23</f>
        <v>1506.59037219969</v>
      </c>
      <c r="I157" s="12" t="n">
        <f aca="false">H157-G157</f>
        <v>110.683396324745</v>
      </c>
      <c r="J157" s="13" t="n">
        <f aca="false">IF(G157=0,"",I157/G157)</f>
        <v>0.0792913841951178</v>
      </c>
    </row>
    <row r="158" customFormat="false" ht="15" hidden="false" customHeight="false" outlineLevel="0" collapsed="false">
      <c r="A158" s="3" t="n">
        <v>21344</v>
      </c>
      <c r="B158" s="3" t="n">
        <v>224048</v>
      </c>
      <c r="C158" s="18" t="n">
        <v>635</v>
      </c>
      <c r="D158" s="18" t="n">
        <v>635</v>
      </c>
      <c r="E158" s="19" t="n">
        <v>333.970560809759</v>
      </c>
      <c r="F158" s="19" t="n">
        <v>359.078986124354</v>
      </c>
      <c r="G158" s="12" t="n">
        <f aca="false">E158/Combined_Summary!$B$23</f>
        <v>1335.88224323903</v>
      </c>
      <c r="H158" s="12" t="n">
        <f aca="false">F158/Combined_Summary!$B$23</f>
        <v>1436.31594449742</v>
      </c>
      <c r="I158" s="12" t="n">
        <f aca="false">H158-G158</f>
        <v>100.433701258382</v>
      </c>
      <c r="J158" s="13" t="n">
        <f aca="false">IF(G158=0,"",I158/G158)</f>
        <v>0.0751815526905021</v>
      </c>
    </row>
    <row r="159" customFormat="false" ht="15" hidden="false" customHeight="false" outlineLevel="0" collapsed="false">
      <c r="A159" s="3" t="n">
        <v>21345</v>
      </c>
      <c r="B159" s="3" t="n">
        <v>223348</v>
      </c>
      <c r="C159" s="18" t="n">
        <v>819</v>
      </c>
      <c r="D159" s="18" t="n">
        <v>819</v>
      </c>
      <c r="E159" s="19" t="n">
        <v>293.907604725224</v>
      </c>
      <c r="F159" s="19" t="n">
        <v>331.204596942161</v>
      </c>
      <c r="G159" s="12" t="n">
        <f aca="false">E159/Combined_Summary!$B$23</f>
        <v>1175.6304189009</v>
      </c>
      <c r="H159" s="12" t="n">
        <f aca="false">F159/Combined_Summary!$B$23</f>
        <v>1324.81838776864</v>
      </c>
      <c r="I159" s="12" t="n">
        <f aca="false">H159-G159</f>
        <v>149.187968867748</v>
      </c>
      <c r="J159" s="13" t="n">
        <f aca="false">IF(G159=0,"",I159/G159)</f>
        <v>0.126900398687561</v>
      </c>
    </row>
    <row r="160" customFormat="false" ht="15" hidden="false" customHeight="false" outlineLevel="0" collapsed="false">
      <c r="A160" s="3" t="n">
        <v>21346</v>
      </c>
      <c r="B160" s="3" t="n">
        <v>647042</v>
      </c>
      <c r="C160" s="18" t="n">
        <v>16</v>
      </c>
      <c r="D160" s="18" t="n">
        <v>16</v>
      </c>
      <c r="E160" s="19" t="n">
        <v>363.47802734375</v>
      </c>
      <c r="F160" s="19" t="n">
        <v>390.724771499634</v>
      </c>
      <c r="G160" s="12" t="n">
        <f aca="false">E160/Combined_Summary!$B$23</f>
        <v>1453.912109375</v>
      </c>
      <c r="H160" s="12" t="n">
        <f aca="false">F160/Combined_Summary!$B$23</f>
        <v>1562.89908599854</v>
      </c>
      <c r="I160" s="12" t="n">
        <f aca="false">H160-G160</f>
        <v>108.986976623535</v>
      </c>
      <c r="J160" s="13" t="n">
        <f aca="false">IF(G160=0,"",I160/G160)</f>
        <v>0.0749611863886228</v>
      </c>
    </row>
    <row r="161" customFormat="false" ht="15" hidden="false" customHeight="false" outlineLevel="0" collapsed="false">
      <c r="A161" s="3" t="n">
        <v>21351</v>
      </c>
      <c r="B161" s="3" t="n">
        <v>447458</v>
      </c>
      <c r="C161" s="18" t="n">
        <v>499</v>
      </c>
      <c r="D161" s="18" t="n">
        <v>499</v>
      </c>
      <c r="E161" s="19" t="n">
        <v>311.293169025429</v>
      </c>
      <c r="F161" s="19" t="n">
        <v>365.04120111561</v>
      </c>
      <c r="G161" s="12" t="n">
        <f aca="false">E161/Combined_Summary!$B$23</f>
        <v>1245.17267610172</v>
      </c>
      <c r="H161" s="12" t="n">
        <f aca="false">F161/Combined_Summary!$B$23</f>
        <v>1460.16480446244</v>
      </c>
      <c r="I161" s="12" t="n">
        <f aca="false">H161-G161</f>
        <v>214.992128360725</v>
      </c>
      <c r="J161" s="13" t="n">
        <f aca="false">IF(G161=0,"",I161/G161)</f>
        <v>0.172660493188627</v>
      </c>
    </row>
    <row r="162" customFormat="false" ht="15" hidden="false" customHeight="false" outlineLevel="0" collapsed="false">
      <c r="A162" s="3" t="n">
        <v>21352</v>
      </c>
      <c r="B162" s="3" t="n">
        <v>232144</v>
      </c>
      <c r="C162" s="18" t="n">
        <v>633</v>
      </c>
      <c r="D162" s="18" t="n">
        <v>633</v>
      </c>
      <c r="E162" s="19" t="n">
        <v>332.406791210928</v>
      </c>
      <c r="F162" s="19" t="n">
        <v>354.676702116715</v>
      </c>
      <c r="G162" s="12" t="n">
        <f aca="false">E162/Combined_Summary!$B$23</f>
        <v>1329.62716484371</v>
      </c>
      <c r="H162" s="12" t="n">
        <f aca="false">F162/Combined_Summary!$B$23</f>
        <v>1418.70680846686</v>
      </c>
      <c r="I162" s="12" t="n">
        <f aca="false">H162-G162</f>
        <v>89.0796436231472</v>
      </c>
      <c r="J162" s="13" t="n">
        <f aca="false">IF(G162=0,"",I162/G162)</f>
        <v>0.0669959564443901</v>
      </c>
    </row>
    <row r="163" customFormat="false" ht="15" hidden="false" customHeight="false" outlineLevel="0" collapsed="false">
      <c r="A163" s="3" t="n">
        <v>21353</v>
      </c>
      <c r="B163" s="3" t="n">
        <v>224006</v>
      </c>
      <c r="C163" s="18" t="n">
        <v>606</v>
      </c>
      <c r="D163" s="18" t="n">
        <v>606</v>
      </c>
      <c r="E163" s="19" t="n">
        <v>269.93578130892</v>
      </c>
      <c r="F163" s="19" t="n">
        <v>306.224381147832</v>
      </c>
      <c r="G163" s="12" t="n">
        <f aca="false">E163/Combined_Summary!$B$23</f>
        <v>1079.74312523568</v>
      </c>
      <c r="H163" s="12" t="n">
        <f aca="false">F163/Combined_Summary!$B$23</f>
        <v>1224.89752459133</v>
      </c>
      <c r="I163" s="12" t="n">
        <f aca="false">H163-G163</f>
        <v>145.154399355646</v>
      </c>
      <c r="J163" s="13" t="n">
        <f aca="false">IF(G163=0,"",I163/G163)</f>
        <v>0.134434196396446</v>
      </c>
    </row>
    <row r="164" customFormat="false" ht="15" hidden="false" customHeight="false" outlineLevel="0" collapsed="false">
      <c r="A164" s="3" t="n">
        <v>21365</v>
      </c>
      <c r="B164" s="3" t="n">
        <v>451845</v>
      </c>
      <c r="C164" s="18" t="n">
        <v>536</v>
      </c>
      <c r="D164" s="18" t="n">
        <v>536</v>
      </c>
      <c r="E164" s="19" t="n">
        <v>334.325007815859</v>
      </c>
      <c r="F164" s="19" t="n">
        <v>376.54278484743</v>
      </c>
      <c r="G164" s="12" t="n">
        <f aca="false">E164/Combined_Summary!$B$23</f>
        <v>1337.30003126344</v>
      </c>
      <c r="H164" s="12" t="n">
        <f aca="false">F164/Combined_Summary!$B$23</f>
        <v>1506.17113938972</v>
      </c>
      <c r="I164" s="12" t="n">
        <f aca="false">H164-G164</f>
        <v>168.871108126285</v>
      </c>
      <c r="J164" s="13" t="n">
        <f aca="false">IF(G164=0,"",I164/G164)</f>
        <v>0.126277652118755</v>
      </c>
    </row>
    <row r="165" customFormat="false" ht="15" hidden="false" customHeight="false" outlineLevel="0" collapsed="false">
      <c r="A165" s="3" t="n">
        <v>21366</v>
      </c>
      <c r="B165" s="3" t="n">
        <v>224037</v>
      </c>
      <c r="C165" s="18" t="n">
        <v>887</v>
      </c>
      <c r="D165" s="18" t="n">
        <v>887</v>
      </c>
      <c r="E165" s="19" t="n">
        <v>326.943168227272</v>
      </c>
      <c r="F165" s="19" t="n">
        <v>350.81770975829</v>
      </c>
      <c r="G165" s="12" t="n">
        <f aca="false">E165/Combined_Summary!$B$23</f>
        <v>1307.77267290909</v>
      </c>
      <c r="H165" s="12" t="n">
        <f aca="false">F165/Combined_Summary!$B$23</f>
        <v>1403.27083903316</v>
      </c>
      <c r="I165" s="12" t="n">
        <f aca="false">H165-G165</f>
        <v>95.4981661240709</v>
      </c>
      <c r="J165" s="13" t="n">
        <f aca="false">IF(G165=0,"",I165/G165)</f>
        <v>0.0730235216734105</v>
      </c>
    </row>
    <row r="166" customFormat="false" ht="15" hidden="false" customHeight="false" outlineLevel="0" collapsed="false">
      <c r="A166" s="3" t="n">
        <v>21367</v>
      </c>
      <c r="B166" s="3" t="n">
        <v>223959</v>
      </c>
      <c r="C166" s="18" t="n">
        <v>462</v>
      </c>
      <c r="D166" s="18" t="n">
        <v>462</v>
      </c>
      <c r="E166" s="19" t="n">
        <v>260.153767738507</v>
      </c>
      <c r="F166" s="19" t="n">
        <v>302.863068584756</v>
      </c>
      <c r="G166" s="12" t="n">
        <f aca="false">E166/Combined_Summary!$B$23</f>
        <v>1040.61507095403</v>
      </c>
      <c r="H166" s="12" t="n">
        <f aca="false">F166/Combined_Summary!$B$23</f>
        <v>1211.45227433902</v>
      </c>
      <c r="I166" s="12" t="n">
        <f aca="false">H166-G166</f>
        <v>170.837203384994</v>
      </c>
      <c r="J166" s="13" t="n">
        <f aca="false">IF(G166=0,"",I166/G166)</f>
        <v>0.164169449543309</v>
      </c>
    </row>
    <row r="167" customFormat="false" ht="15" hidden="false" customHeight="false" outlineLevel="0" collapsed="false">
      <c r="A167" s="3" t="n">
        <v>21376</v>
      </c>
      <c r="B167" s="3" t="n">
        <v>224083</v>
      </c>
      <c r="C167" s="18" t="n">
        <v>858</v>
      </c>
      <c r="D167" s="18" t="n">
        <v>858</v>
      </c>
      <c r="E167" s="19" t="n">
        <v>328.235778755241</v>
      </c>
      <c r="F167" s="19" t="n">
        <v>359.871573859439</v>
      </c>
      <c r="G167" s="12" t="n">
        <f aca="false">E167/Combined_Summary!$B$23</f>
        <v>1312.94311502097</v>
      </c>
      <c r="H167" s="12" t="n">
        <f aca="false">F167/Combined_Summary!$B$23</f>
        <v>1439.48629543776</v>
      </c>
      <c r="I167" s="12" t="n">
        <f aca="false">H167-G167</f>
        <v>126.543180416792</v>
      </c>
      <c r="J167" s="13" t="n">
        <f aca="false">IF(G167=0,"",I167/G167)</f>
        <v>0.0963813123120504</v>
      </c>
    </row>
    <row r="168" customFormat="false" ht="15" hidden="false" customHeight="false" outlineLevel="0" collapsed="false">
      <c r="A168" s="3" t="n">
        <v>21377</v>
      </c>
      <c r="B168" s="3" t="n">
        <v>224163</v>
      </c>
      <c r="C168" s="18" t="n">
        <v>911</v>
      </c>
      <c r="D168" s="18" t="n">
        <v>911</v>
      </c>
      <c r="E168" s="19" t="n">
        <v>280.274079474607</v>
      </c>
      <c r="F168" s="19" t="n">
        <v>332.493014054031</v>
      </c>
      <c r="G168" s="12" t="n">
        <f aca="false">E168/Combined_Summary!$B$23</f>
        <v>1121.09631789843</v>
      </c>
      <c r="H168" s="12" t="n">
        <f aca="false">F168/Combined_Summary!$B$23</f>
        <v>1329.97205621613</v>
      </c>
      <c r="I168" s="12" t="n">
        <f aca="false">H168-G168</f>
        <v>208.875738317697</v>
      </c>
      <c r="J168" s="13" t="n">
        <f aca="false">IF(G168=0,"",I168/G168)</f>
        <v>0.186313820661947</v>
      </c>
    </row>
    <row r="169" customFormat="false" ht="15" hidden="false" customHeight="false" outlineLevel="0" collapsed="false">
      <c r="A169" s="3" t="n">
        <v>21388</v>
      </c>
      <c r="B169" s="3" t="n">
        <v>224046</v>
      </c>
      <c r="C169" s="18" t="n">
        <v>1025</v>
      </c>
      <c r="D169" s="18" t="n">
        <v>1025</v>
      </c>
      <c r="E169" s="19" t="n">
        <v>293.97895095453</v>
      </c>
      <c r="F169" s="19" t="n">
        <v>329.59990571557</v>
      </c>
      <c r="G169" s="12" t="n">
        <f aca="false">E169/Combined_Summary!$B$23</f>
        <v>1175.91580381812</v>
      </c>
      <c r="H169" s="12" t="n">
        <f aca="false">F169/Combined_Summary!$B$23</f>
        <v>1318.39962286228</v>
      </c>
      <c r="I169" s="12" t="n">
        <f aca="false">H169-G169</f>
        <v>142.483819044159</v>
      </c>
      <c r="J169" s="13" t="n">
        <f aca="false">IF(G169=0,"",I169/G169)</f>
        <v>0.12116838516969</v>
      </c>
    </row>
    <row r="170" customFormat="false" ht="15" hidden="false" customHeight="false" outlineLevel="0" collapsed="false">
      <c r="A170" s="3" t="n">
        <v>21389</v>
      </c>
      <c r="B170" s="3" t="n">
        <v>224168</v>
      </c>
      <c r="C170" s="18" t="n">
        <v>575</v>
      </c>
      <c r="D170" s="18" t="n">
        <v>575</v>
      </c>
      <c r="E170" s="19" t="n">
        <v>207.190799746306</v>
      </c>
      <c r="F170" s="19" t="n">
        <v>248.635314185101</v>
      </c>
      <c r="G170" s="12" t="n">
        <f aca="false">E170/Combined_Summary!$B$23</f>
        <v>828.763198985224</v>
      </c>
      <c r="H170" s="12" t="n">
        <f aca="false">F170/Combined_Summary!$B$23</f>
        <v>994.541256740404</v>
      </c>
      <c r="I170" s="12" t="n">
        <f aca="false">H170-G170</f>
        <v>165.77805775518</v>
      </c>
      <c r="J170" s="13" t="n">
        <f aca="false">IF(G170=0,"",I170/G170)</f>
        <v>0.200030669747602</v>
      </c>
    </row>
    <row r="171" customFormat="false" ht="15" hidden="false" customHeight="false" outlineLevel="0" collapsed="false">
      <c r="A171" s="3" t="n">
        <v>21390</v>
      </c>
      <c r="B171" s="3" t="n">
        <v>230607</v>
      </c>
      <c r="C171" s="18" t="n">
        <v>279</v>
      </c>
      <c r="D171" s="18" t="n">
        <v>279</v>
      </c>
      <c r="E171" s="19" t="n">
        <v>137.516061133381</v>
      </c>
      <c r="F171" s="19" t="n">
        <v>209.218627738269</v>
      </c>
      <c r="G171" s="12" t="n">
        <f aca="false">E171/Combined_Summary!$B$23</f>
        <v>550.064244533525</v>
      </c>
      <c r="H171" s="12" t="n">
        <f aca="false">F171/Combined_Summary!$B$23</f>
        <v>836.874510953076</v>
      </c>
      <c r="I171" s="12" t="n">
        <f aca="false">H171-G171</f>
        <v>286.810266419551</v>
      </c>
      <c r="J171" s="13" t="n">
        <f aca="false">IF(G171=0,"",I171/G171)</f>
        <v>0.521412306416638</v>
      </c>
    </row>
    <row r="172" customFormat="false" ht="15" hidden="false" customHeight="false" outlineLevel="0" collapsed="false">
      <c r="A172" s="3" t="n">
        <v>21398</v>
      </c>
      <c r="B172" s="3" t="n">
        <v>232166</v>
      </c>
      <c r="C172" s="18" t="n">
        <v>749</v>
      </c>
      <c r="D172" s="18" t="n">
        <v>749</v>
      </c>
      <c r="E172" s="19" t="n">
        <v>319.255549213119</v>
      </c>
      <c r="F172" s="19" t="n">
        <v>353.728059154964</v>
      </c>
      <c r="G172" s="12" t="n">
        <f aca="false">E172/Combined_Summary!$B$23</f>
        <v>1277.02219685248</v>
      </c>
      <c r="H172" s="12" t="n">
        <f aca="false">F172/Combined_Summary!$B$23</f>
        <v>1414.91223661986</v>
      </c>
      <c r="I172" s="12" t="n">
        <f aca="false">H172-G172</f>
        <v>137.890039767379</v>
      </c>
      <c r="J172" s="13" t="n">
        <f aca="false">IF(G172=0,"",I172/G172)</f>
        <v>0.107977794048719</v>
      </c>
    </row>
    <row r="173" customFormat="false" ht="15" hidden="false" customHeight="false" outlineLevel="0" collapsed="false">
      <c r="A173" s="3" t="n">
        <v>21399</v>
      </c>
      <c r="B173" s="3" t="n">
        <v>224071</v>
      </c>
      <c r="C173" s="18" t="n">
        <v>854</v>
      </c>
      <c r="D173" s="18" t="n">
        <v>854</v>
      </c>
      <c r="E173" s="19" t="n">
        <v>331.812538334581</v>
      </c>
      <c r="F173" s="19" t="n">
        <v>357.880145097505</v>
      </c>
      <c r="G173" s="12" t="n">
        <f aca="false">E173/Combined_Summary!$B$23</f>
        <v>1327.25015333832</v>
      </c>
      <c r="H173" s="12" t="n">
        <f aca="false">F173/Combined_Summary!$B$23</f>
        <v>1431.52058039002</v>
      </c>
      <c r="I173" s="12" t="n">
        <f aca="false">H173-G173</f>
        <v>104.270427051696</v>
      </c>
      <c r="J173" s="13" t="n">
        <f aca="false">IF(G173=0,"",I173/G173)</f>
        <v>0.0785612469431124</v>
      </c>
    </row>
    <row r="174" customFormat="false" ht="15" hidden="false" customHeight="false" outlineLevel="0" collapsed="false">
      <c r="A174" s="3" t="n">
        <v>21400</v>
      </c>
      <c r="B174" s="3" t="n">
        <v>232129</v>
      </c>
      <c r="C174" s="18" t="n">
        <v>577</v>
      </c>
      <c r="D174" s="18" t="n">
        <v>577</v>
      </c>
      <c r="E174" s="19" t="n">
        <v>338.040102418209</v>
      </c>
      <c r="F174" s="19" t="n">
        <v>365.737205531816</v>
      </c>
      <c r="G174" s="12" t="n">
        <f aca="false">E174/Combined_Summary!$B$23</f>
        <v>1352.16040967283</v>
      </c>
      <c r="H174" s="12" t="n">
        <f aca="false">F174/Combined_Summary!$B$23</f>
        <v>1462.94882212726</v>
      </c>
      <c r="I174" s="12" t="n">
        <f aca="false">H174-G174</f>
        <v>110.78841245443</v>
      </c>
      <c r="J174" s="13" t="n">
        <f aca="false">IF(G174=0,"",I174/G174)</f>
        <v>0.0819343708497098</v>
      </c>
    </row>
    <row r="175" customFormat="false" ht="15" hidden="false" customHeight="false" outlineLevel="0" collapsed="false">
      <c r="A175" s="3" t="n">
        <v>21407</v>
      </c>
      <c r="B175" s="3" t="n">
        <v>232165</v>
      </c>
      <c r="C175" s="18" t="n">
        <v>832</v>
      </c>
      <c r="D175" s="18" t="n">
        <v>832</v>
      </c>
      <c r="E175" s="19" t="n">
        <v>266.013193864089</v>
      </c>
      <c r="F175" s="19" t="n">
        <v>313.602420082459</v>
      </c>
      <c r="G175" s="12" t="n">
        <f aca="false">E175/Combined_Summary!$B$23</f>
        <v>1064.05277545636</v>
      </c>
      <c r="H175" s="12" t="n">
        <f aca="false">F175/Combined_Summary!$B$23</f>
        <v>1254.40968032984</v>
      </c>
      <c r="I175" s="12" t="n">
        <f aca="false">H175-G175</f>
        <v>190.356904873481</v>
      </c>
      <c r="J175" s="13" t="n">
        <f aca="false">IF(G175=0,"",I175/G175)</f>
        <v>0.178897991964581</v>
      </c>
    </row>
    <row r="176" customFormat="false" ht="15" hidden="false" customHeight="false" outlineLevel="0" collapsed="false">
      <c r="A176" s="3" t="n">
        <v>21408</v>
      </c>
      <c r="B176" s="3" t="n">
        <v>224285</v>
      </c>
      <c r="C176" s="18" t="n">
        <v>584</v>
      </c>
      <c r="D176" s="18" t="n">
        <v>584</v>
      </c>
      <c r="E176" s="19" t="n">
        <v>307.003991290315</v>
      </c>
      <c r="F176" s="19" t="n">
        <v>335.66302508524</v>
      </c>
      <c r="G176" s="12" t="n">
        <f aca="false">E176/Combined_Summary!$B$23</f>
        <v>1228.01596516126</v>
      </c>
      <c r="H176" s="12" t="n">
        <f aca="false">F176/Combined_Summary!$B$23</f>
        <v>1342.65210034096</v>
      </c>
      <c r="I176" s="12" t="n">
        <f aca="false">H176-G176</f>
        <v>114.636135179702</v>
      </c>
      <c r="J176" s="13" t="n">
        <f aca="false">IF(G176=0,"",I176/G176)</f>
        <v>0.0933506879649148</v>
      </c>
    </row>
    <row r="177" customFormat="false" ht="15" hidden="false" customHeight="false" outlineLevel="0" collapsed="false">
      <c r="A177" s="3" t="n">
        <v>21420</v>
      </c>
      <c r="B177" s="3" t="n">
        <v>224286</v>
      </c>
      <c r="C177" s="18" t="n">
        <v>495</v>
      </c>
      <c r="D177" s="18" t="n">
        <v>495</v>
      </c>
      <c r="E177" s="19" t="n">
        <v>322.697298061486</v>
      </c>
      <c r="F177" s="19" t="n">
        <v>349.086317443848</v>
      </c>
      <c r="G177" s="12" t="n">
        <f aca="false">E177/Combined_Summary!$B$23</f>
        <v>1290.78919224595</v>
      </c>
      <c r="H177" s="12" t="n">
        <f aca="false">F177/Combined_Summary!$B$23</f>
        <v>1396.34526977539</v>
      </c>
      <c r="I177" s="12" t="n">
        <f aca="false">H177-G177</f>
        <v>105.556077529445</v>
      </c>
      <c r="J177" s="13" t="n">
        <f aca="false">IF(G177=0,"",I177/G177)</f>
        <v>0.0817763877816326</v>
      </c>
    </row>
    <row r="178" customFormat="false" ht="15" hidden="false" customHeight="false" outlineLevel="0" collapsed="false">
      <c r="A178" s="3" t="n">
        <v>21429</v>
      </c>
      <c r="B178" s="3" t="n">
        <v>224368</v>
      </c>
      <c r="C178" s="18" t="n">
        <v>651</v>
      </c>
      <c r="D178" s="18" t="n">
        <v>651</v>
      </c>
      <c r="E178" s="19" t="n">
        <v>320.201361109767</v>
      </c>
      <c r="F178" s="19" t="n">
        <v>347.349369687785</v>
      </c>
      <c r="G178" s="12" t="n">
        <f aca="false">E178/Combined_Summary!$B$23</f>
        <v>1280.80544443907</v>
      </c>
      <c r="H178" s="12" t="n">
        <f aca="false">F178/Combined_Summary!$B$23</f>
        <v>1389.39747875114</v>
      </c>
      <c r="I178" s="12" t="n">
        <f aca="false">H178-G178</f>
        <v>108.592034312071</v>
      </c>
      <c r="J178" s="13" t="n">
        <f aca="false">IF(G178=0,"",I178/G178)</f>
        <v>0.0847841760694802</v>
      </c>
    </row>
    <row r="179" customFormat="false" ht="15" hidden="false" customHeight="false" outlineLevel="0" collapsed="false">
      <c r="A179" s="3" t="n">
        <v>21430</v>
      </c>
      <c r="B179" s="3" t="n">
        <v>224309</v>
      </c>
      <c r="C179" s="18" t="n">
        <v>622</v>
      </c>
      <c r="D179" s="18" t="n">
        <v>622</v>
      </c>
      <c r="E179" s="19" t="n">
        <v>333.590798834896</v>
      </c>
      <c r="F179" s="19" t="n">
        <v>359.273509513144</v>
      </c>
      <c r="G179" s="12" t="n">
        <f aca="false">E179/Combined_Summary!$B$23</f>
        <v>1334.36319533958</v>
      </c>
      <c r="H179" s="12" t="n">
        <f aca="false">F179/Combined_Summary!$B$23</f>
        <v>1437.09403805257</v>
      </c>
      <c r="I179" s="12" t="n">
        <f aca="false">H179-G179</f>
        <v>102.730842712991</v>
      </c>
      <c r="J179" s="13" t="n">
        <f aca="false">IF(G179=0,"",I179/G179)</f>
        <v>0.0769886662580252</v>
      </c>
    </row>
    <row r="180" customFormat="false" ht="15" hidden="false" customHeight="false" outlineLevel="0" collapsed="false">
      <c r="A180" s="3" t="n">
        <v>21431</v>
      </c>
      <c r="B180" s="3" t="n">
        <v>224312</v>
      </c>
      <c r="C180" s="18" t="n">
        <v>935</v>
      </c>
      <c r="D180" s="18" t="n">
        <v>935</v>
      </c>
      <c r="E180" s="19" t="n">
        <v>235.313930074926</v>
      </c>
      <c r="F180" s="19" t="n">
        <v>284.627118050478</v>
      </c>
      <c r="G180" s="12" t="n">
        <f aca="false">E180/Combined_Summary!$B$23</f>
        <v>941.255720299706</v>
      </c>
      <c r="H180" s="12" t="n">
        <f aca="false">F180/Combined_Summary!$B$23</f>
        <v>1138.50847220191</v>
      </c>
      <c r="I180" s="12" t="n">
        <f aca="false">H180-G180</f>
        <v>197.252751902208</v>
      </c>
      <c r="J180" s="13" t="n">
        <f aca="false">IF(G180=0,"",I180/G180)</f>
        <v>0.209563403066916</v>
      </c>
    </row>
    <row r="181" customFormat="false" ht="15" hidden="false" customHeight="false" outlineLevel="0" collapsed="false">
      <c r="A181" s="3" t="n">
        <v>21438</v>
      </c>
      <c r="B181" s="3" t="n">
        <v>224310</v>
      </c>
      <c r="C181" s="18" t="n">
        <v>520</v>
      </c>
      <c r="D181" s="18" t="n">
        <v>520</v>
      </c>
      <c r="E181" s="19" t="n">
        <v>244.059167289734</v>
      </c>
      <c r="F181" s="19" t="n">
        <v>292.763305223905</v>
      </c>
      <c r="G181" s="12" t="n">
        <f aca="false">E181/Combined_Summary!$B$23</f>
        <v>976.236669158936</v>
      </c>
      <c r="H181" s="12" t="n">
        <f aca="false">F181/Combined_Summary!$B$23</f>
        <v>1171.05322089562</v>
      </c>
      <c r="I181" s="12" t="n">
        <f aca="false">H181-G181</f>
        <v>194.816551736685</v>
      </c>
      <c r="J181" s="13" t="n">
        <f aca="false">IF(G181=0,"",I181/G181)</f>
        <v>0.199558731905171</v>
      </c>
    </row>
    <row r="182" customFormat="false" ht="15" hidden="false" customHeight="false" outlineLevel="0" collapsed="false">
      <c r="A182" s="3" t="n">
        <v>25935</v>
      </c>
      <c r="B182" s="3" t="n">
        <v>224026</v>
      </c>
      <c r="C182" s="18" t="n">
        <v>403</v>
      </c>
      <c r="D182" s="18" t="n">
        <v>403</v>
      </c>
      <c r="E182" s="19" t="n">
        <v>339.381769752976</v>
      </c>
      <c r="F182" s="19" t="n">
        <v>369.186447957609</v>
      </c>
      <c r="G182" s="12" t="n">
        <f aca="false">E182/Combined_Summary!$B$23</f>
        <v>1357.5270790119</v>
      </c>
      <c r="H182" s="12" t="n">
        <f aca="false">F182/Combined_Summary!$B$23</f>
        <v>1476.74579183044</v>
      </c>
      <c r="I182" s="12" t="n">
        <f aca="false">H182-G182</f>
        <v>119.218712818534</v>
      </c>
      <c r="J182" s="13" t="n">
        <f aca="false">IF(G182=0,"",I182/G182)</f>
        <v>0.0878205044022467</v>
      </c>
    </row>
    <row r="183" customFormat="false" ht="15" hidden="false" customHeight="false" outlineLevel="0" collapsed="false">
      <c r="A183" s="3" t="n">
        <v>25936</v>
      </c>
      <c r="B183" s="3" t="n">
        <v>645397</v>
      </c>
      <c r="C183" s="18" t="n">
        <v>16</v>
      </c>
      <c r="D183" s="18" t="n">
        <v>16</v>
      </c>
      <c r="E183" s="19" t="n">
        <v>299.524729728699</v>
      </c>
      <c r="F183" s="19" t="n">
        <v>336.859224319458</v>
      </c>
      <c r="G183" s="12" t="n">
        <f aca="false">E183/Combined_Summary!$B$23</f>
        <v>1198.09891891479</v>
      </c>
      <c r="H183" s="12" t="n">
        <f aca="false">F183/Combined_Summary!$B$23</f>
        <v>1347.43689727783</v>
      </c>
      <c r="I183" s="12" t="n">
        <f aca="false">H183-G183</f>
        <v>149.337978363037</v>
      </c>
      <c r="J183" s="13" t="n">
        <f aca="false">IF(G183=0,"",I183/G183)</f>
        <v>0.124645783420207</v>
      </c>
    </row>
    <row r="184" customFormat="false" ht="15" hidden="false" customHeight="false" outlineLevel="0" collapsed="false">
      <c r="A184" s="3" t="n">
        <v>25937</v>
      </c>
      <c r="B184" s="3" t="n">
        <v>223953</v>
      </c>
      <c r="C184" s="18" t="n">
        <v>311</v>
      </c>
      <c r="D184" s="18" t="n">
        <v>311</v>
      </c>
      <c r="E184" s="19" t="n">
        <v>328.616063918331</v>
      </c>
      <c r="F184" s="19" t="n">
        <v>357.759093845772</v>
      </c>
      <c r="G184" s="12" t="n">
        <f aca="false">E184/Combined_Summary!$B$23</f>
        <v>1314.46425567333</v>
      </c>
      <c r="H184" s="12" t="n">
        <f aca="false">F184/Combined_Summary!$B$23</f>
        <v>1431.03637538309</v>
      </c>
      <c r="I184" s="12" t="n">
        <f aca="false">H184-G184</f>
        <v>116.572119709763</v>
      </c>
      <c r="J184" s="13" t="n">
        <f aca="false">IF(G184=0,"",I184/G184)</f>
        <v>0.0886841305928475</v>
      </c>
    </row>
    <row r="185" customFormat="false" ht="15" hidden="false" customHeight="false" outlineLevel="0" collapsed="false">
      <c r="A185" s="3" t="n">
        <v>25938</v>
      </c>
      <c r="B185" s="3" t="n">
        <v>223895</v>
      </c>
      <c r="C185" s="18" t="n">
        <v>732</v>
      </c>
      <c r="D185" s="18" t="n">
        <v>732</v>
      </c>
      <c r="E185" s="19" t="n">
        <v>336.869990239378</v>
      </c>
      <c r="F185" s="19" t="n">
        <v>353.584885977657</v>
      </c>
      <c r="G185" s="12" t="n">
        <f aca="false">E185/Combined_Summary!$B$23</f>
        <v>1347.47996095751</v>
      </c>
      <c r="H185" s="12" t="n">
        <f aca="false">F185/Combined_Summary!$B$23</f>
        <v>1414.33954391063</v>
      </c>
      <c r="I185" s="12" t="n">
        <f aca="false">H185-G185</f>
        <v>66.8595829531143</v>
      </c>
      <c r="J185" s="13" t="n">
        <f aca="false">IF(G185=0,"",I185/G185)</f>
        <v>0.049618239150365</v>
      </c>
    </row>
    <row r="186" customFormat="false" ht="15" hidden="false" customHeight="false" outlineLevel="0" collapsed="false">
      <c r="A186" s="3" t="n">
        <v>25952</v>
      </c>
      <c r="B186" s="3" t="n">
        <v>224076</v>
      </c>
      <c r="C186" s="18" t="n">
        <v>662</v>
      </c>
      <c r="D186" s="18" t="n">
        <v>662</v>
      </c>
      <c r="E186" s="19" t="n">
        <v>242.958051675756</v>
      </c>
      <c r="F186" s="19" t="n">
        <v>289.668865641799</v>
      </c>
      <c r="G186" s="12" t="n">
        <f aca="false">E186/Combined_Summary!$B$23</f>
        <v>971.832206703025</v>
      </c>
      <c r="H186" s="12" t="n">
        <f aca="false">F186/Combined_Summary!$B$23</f>
        <v>1158.67546256719</v>
      </c>
      <c r="I186" s="12" t="n">
        <f aca="false">H186-G186</f>
        <v>186.843255864169</v>
      </c>
      <c r="J186" s="13" t="n">
        <f aca="false">IF(G186=0,"",I186/G186)</f>
        <v>0.192258760900754</v>
      </c>
    </row>
    <row r="187" customFormat="false" ht="15" hidden="false" customHeight="false" outlineLevel="0" collapsed="false">
      <c r="A187" s="3" t="n">
        <v>25960</v>
      </c>
      <c r="B187" s="3" t="n">
        <v>224033</v>
      </c>
      <c r="C187" s="18" t="n">
        <v>794</v>
      </c>
      <c r="D187" s="18" t="n">
        <v>794</v>
      </c>
      <c r="E187" s="19" t="n">
        <v>336.62145562256</v>
      </c>
      <c r="F187" s="19" t="n">
        <v>362.768783002416</v>
      </c>
      <c r="G187" s="12" t="n">
        <f aca="false">E187/Combined_Summary!$B$23</f>
        <v>1346.48582249024</v>
      </c>
      <c r="H187" s="12" t="n">
        <f aca="false">F187/Combined_Summary!$B$23</f>
        <v>1451.07513200967</v>
      </c>
      <c r="I187" s="12" t="n">
        <f aca="false">H187-G187</f>
        <v>104.589309519424</v>
      </c>
      <c r="J187" s="13" t="n">
        <f aca="false">IF(G187=0,"",I187/G187)</f>
        <v>0.0776757599467279</v>
      </c>
    </row>
    <row r="188" customFormat="false" ht="15" hidden="false" customHeight="false" outlineLevel="0" collapsed="false">
      <c r="A188" s="3" t="n">
        <v>25961</v>
      </c>
      <c r="B188" s="3" t="n">
        <v>223961</v>
      </c>
      <c r="C188" s="18" t="n">
        <v>979</v>
      </c>
      <c r="D188" s="18" t="n">
        <v>979</v>
      </c>
      <c r="E188" s="19" t="n">
        <v>317.518654648934</v>
      </c>
      <c r="F188" s="19" t="n">
        <v>348.374434536397</v>
      </c>
      <c r="G188" s="12" t="n">
        <f aca="false">E188/Combined_Summary!$B$23</f>
        <v>1270.07461859574</v>
      </c>
      <c r="H188" s="12" t="n">
        <f aca="false">F188/Combined_Summary!$B$23</f>
        <v>1393.49773814559</v>
      </c>
      <c r="I188" s="12" t="n">
        <f aca="false">H188-G188</f>
        <v>123.423119549853</v>
      </c>
      <c r="J188" s="13" t="n">
        <f aca="false">IF(G188=0,"",I188/G188)</f>
        <v>0.0971778490356074</v>
      </c>
    </row>
    <row r="189" customFormat="false" ht="15" hidden="false" customHeight="false" outlineLevel="0" collapsed="false">
      <c r="A189" s="3" t="n">
        <v>25967</v>
      </c>
      <c r="B189" s="3" t="n">
        <v>232116</v>
      </c>
      <c r="C189" s="18" t="n">
        <v>574</v>
      </c>
      <c r="D189" s="18" t="n">
        <v>574</v>
      </c>
      <c r="E189" s="19" t="n">
        <v>335.674043974395</v>
      </c>
      <c r="F189" s="19" t="n">
        <v>365.303750599718</v>
      </c>
      <c r="G189" s="12" t="n">
        <f aca="false">E189/Combined_Summary!$B$23</f>
        <v>1342.69617589758</v>
      </c>
      <c r="H189" s="12" t="n">
        <f aca="false">F189/Combined_Summary!$B$23</f>
        <v>1461.21500239887</v>
      </c>
      <c r="I189" s="12" t="n">
        <f aca="false">H189-G189</f>
        <v>118.518826501295</v>
      </c>
      <c r="J189" s="13" t="n">
        <f aca="false">IF(G189=0,"",I189/G189)</f>
        <v>0.0882692813376535</v>
      </c>
    </row>
    <row r="190" customFormat="false" ht="15" hidden="false" customHeight="false" outlineLevel="0" collapsed="false">
      <c r="A190" s="3" t="n">
        <v>25978</v>
      </c>
      <c r="B190" s="3" t="n">
        <v>224098</v>
      </c>
      <c r="C190" s="18" t="n">
        <v>860</v>
      </c>
      <c r="D190" s="18" t="n">
        <v>860</v>
      </c>
      <c r="E190" s="19" t="n">
        <v>330.129560528245</v>
      </c>
      <c r="F190" s="19" t="n">
        <v>358.23963394165</v>
      </c>
      <c r="G190" s="12" t="n">
        <f aca="false">E190/Combined_Summary!$B$23</f>
        <v>1320.51824211298</v>
      </c>
      <c r="H190" s="12" t="n">
        <f aca="false">F190/Combined_Summary!$B$23</f>
        <v>1432.9585357666</v>
      </c>
      <c r="I190" s="12" t="n">
        <f aca="false">H190-G190</f>
        <v>112.440293653621</v>
      </c>
      <c r="J190" s="13" t="n">
        <f aca="false">IF(G190=0,"",I190/G190)</f>
        <v>0.0851486106497884</v>
      </c>
    </row>
    <row r="191" customFormat="false" ht="15" hidden="false" customHeight="false" outlineLevel="0" collapsed="false">
      <c r="A191" s="3" t="n">
        <v>25979</v>
      </c>
      <c r="B191" s="3" t="n">
        <v>224088</v>
      </c>
      <c r="C191" s="18" t="n">
        <v>649</v>
      </c>
      <c r="D191" s="18" t="n">
        <v>649</v>
      </c>
      <c r="E191" s="19" t="n">
        <v>324.516137732931</v>
      </c>
      <c r="F191" s="19" t="n">
        <v>351.931693783894</v>
      </c>
      <c r="G191" s="12" t="n">
        <f aca="false">E191/Combined_Summary!$B$23</f>
        <v>1298.06455093172</v>
      </c>
      <c r="H191" s="12" t="n">
        <f aca="false">F191/Combined_Summary!$B$23</f>
        <v>1407.72677513558</v>
      </c>
      <c r="I191" s="12" t="n">
        <f aca="false">H191-G191</f>
        <v>109.662224203853</v>
      </c>
      <c r="J191" s="13" t="n">
        <f aca="false">IF(G191=0,"",I191/G191)</f>
        <v>0.0844813334784779</v>
      </c>
    </row>
    <row r="192" customFormat="false" ht="15" hidden="false" customHeight="false" outlineLevel="0" collapsed="false">
      <c r="A192" s="3" t="n">
        <v>25980</v>
      </c>
      <c r="B192" s="3" t="n">
        <v>224053</v>
      </c>
      <c r="C192" s="18" t="n">
        <v>713</v>
      </c>
      <c r="D192" s="18" t="n">
        <v>713</v>
      </c>
      <c r="E192" s="19" t="n">
        <v>344.7120099061</v>
      </c>
      <c r="F192" s="19" t="n">
        <v>368.863166669977</v>
      </c>
      <c r="G192" s="12" t="n">
        <f aca="false">E192/Combined_Summary!$B$23</f>
        <v>1378.8480396244</v>
      </c>
      <c r="H192" s="12" t="n">
        <f aca="false">F192/Combined_Summary!$B$23</f>
        <v>1475.45266667991</v>
      </c>
      <c r="I192" s="12" t="n">
        <f aca="false">H192-G192</f>
        <v>96.6046270555064</v>
      </c>
      <c r="J192" s="13" t="n">
        <f aca="false">IF(G192=0,"",I192/G192)</f>
        <v>0.0700618373304006</v>
      </c>
    </row>
    <row r="193" customFormat="false" ht="15" hidden="false" customHeight="false" outlineLevel="0" collapsed="false">
      <c r="A193" s="3" t="n">
        <v>25981</v>
      </c>
      <c r="B193" s="3" t="n">
        <v>232120</v>
      </c>
      <c r="C193" s="18" t="n">
        <v>556</v>
      </c>
      <c r="D193" s="18" t="n">
        <v>556</v>
      </c>
      <c r="E193" s="19" t="n">
        <v>330.297892570496</v>
      </c>
      <c r="F193" s="19" t="n">
        <v>358.294673658961</v>
      </c>
      <c r="G193" s="12" t="n">
        <f aca="false">E193/Combined_Summary!$B$23</f>
        <v>1321.19157028198</v>
      </c>
      <c r="H193" s="12" t="n">
        <f aca="false">F193/Combined_Summary!$B$23</f>
        <v>1433.17869463584</v>
      </c>
      <c r="I193" s="12" t="n">
        <f aca="false">H193-G193</f>
        <v>111.987124353862</v>
      </c>
      <c r="J193" s="13" t="n">
        <f aca="false">IF(G193=0,"",I193/G193)</f>
        <v>0.0847622153159516</v>
      </c>
    </row>
    <row r="194" customFormat="false" ht="15" hidden="false" customHeight="false" outlineLevel="0" collapsed="false">
      <c r="A194" s="3" t="n">
        <v>25982</v>
      </c>
      <c r="B194" s="3" t="n">
        <v>223891</v>
      </c>
      <c r="C194" s="18" t="n">
        <v>760</v>
      </c>
      <c r="D194" s="18" t="n">
        <v>760</v>
      </c>
      <c r="E194" s="19" t="n">
        <v>326.874731430255</v>
      </c>
      <c r="F194" s="19" t="n">
        <v>357.290812050669</v>
      </c>
      <c r="G194" s="12" t="n">
        <f aca="false">E194/Combined_Summary!$B$23</f>
        <v>1307.49892572102</v>
      </c>
      <c r="H194" s="12" t="n">
        <f aca="false">F194/Combined_Summary!$B$23</f>
        <v>1429.16324820268</v>
      </c>
      <c r="I194" s="12" t="n">
        <f aca="false">H194-G194</f>
        <v>121.664322481657</v>
      </c>
      <c r="J194" s="13" t="n">
        <f aca="false">IF(G194=0,"",I194/G194)</f>
        <v>0.0930511835140253</v>
      </c>
    </row>
    <row r="195" customFormat="false" ht="15" hidden="false" customHeight="false" outlineLevel="0" collapsed="false">
      <c r="A195" s="3" t="n">
        <v>25989</v>
      </c>
      <c r="B195" s="3" t="n">
        <v>649943</v>
      </c>
      <c r="C195" s="18" t="n">
        <v>16</v>
      </c>
      <c r="D195" s="18" t="n">
        <v>16</v>
      </c>
      <c r="E195" s="19" t="n">
        <v>259.382083892822</v>
      </c>
      <c r="F195" s="19" t="n">
        <v>303.170743942261</v>
      </c>
      <c r="G195" s="12" t="n">
        <f aca="false">E195/Combined_Summary!$B$23</f>
        <v>1037.52833557129</v>
      </c>
      <c r="H195" s="12" t="n">
        <f aca="false">F195/Combined_Summary!$B$23</f>
        <v>1212.68297576904</v>
      </c>
      <c r="I195" s="12" t="n">
        <f aca="false">H195-G195</f>
        <v>175.154640197753</v>
      </c>
      <c r="J195" s="13" t="n">
        <f aca="false">IF(G195=0,"",I195/G195)</f>
        <v>0.168819138902176</v>
      </c>
    </row>
    <row r="196" customFormat="false" ht="15" hidden="false" customHeight="false" outlineLevel="0" collapsed="false">
      <c r="A196" s="3" t="n">
        <v>26000</v>
      </c>
      <c r="B196" s="3" t="n">
        <v>224104</v>
      </c>
      <c r="C196" s="18" t="n">
        <v>613</v>
      </c>
      <c r="D196" s="18" t="n">
        <v>613</v>
      </c>
      <c r="E196" s="19" t="n">
        <v>327.75011662519</v>
      </c>
      <c r="F196" s="19" t="n">
        <v>356.322898827408</v>
      </c>
      <c r="G196" s="12" t="n">
        <f aca="false">E196/Combined_Summary!$B$23</f>
        <v>1311.00046650076</v>
      </c>
      <c r="H196" s="12" t="n">
        <f aca="false">F196/Combined_Summary!$B$23</f>
        <v>1425.29159530963</v>
      </c>
      <c r="I196" s="12" t="n">
        <f aca="false">H196-G196</f>
        <v>114.291128808872</v>
      </c>
      <c r="J196" s="13" t="n">
        <f aca="false">IF(G196=0,"",I196/G196)</f>
        <v>0.0871785569336455</v>
      </c>
    </row>
    <row r="197" customFormat="false" ht="15" hidden="false" customHeight="false" outlineLevel="0" collapsed="false">
      <c r="A197" s="3" t="n">
        <v>26001</v>
      </c>
      <c r="B197" s="3" t="n">
        <v>224097</v>
      </c>
      <c r="C197" s="18" t="n">
        <v>439</v>
      </c>
      <c r="D197" s="18" t="n">
        <v>439</v>
      </c>
      <c r="E197" s="19" t="n">
        <v>326.030970493047</v>
      </c>
      <c r="F197" s="19" t="n">
        <v>358.238881400071</v>
      </c>
      <c r="G197" s="12" t="n">
        <f aca="false">E197/Combined_Summary!$B$23</f>
        <v>1304.12388197219</v>
      </c>
      <c r="H197" s="12" t="n">
        <f aca="false">F197/Combined_Summary!$B$23</f>
        <v>1432.95552560029</v>
      </c>
      <c r="I197" s="12" t="n">
        <f aca="false">H197-G197</f>
        <v>128.831643628097</v>
      </c>
      <c r="J197" s="13" t="n">
        <f aca="false">IF(G197=0,"",I197/G197)</f>
        <v>0.0987878877221911</v>
      </c>
    </row>
    <row r="198" customFormat="false" ht="15" hidden="false" customHeight="false" outlineLevel="0" collapsed="false">
      <c r="A198" s="3" t="n">
        <v>26002</v>
      </c>
      <c r="B198" s="3" t="n">
        <v>232135</v>
      </c>
      <c r="C198" s="18" t="n">
        <v>405</v>
      </c>
      <c r="D198" s="18" t="n">
        <v>405</v>
      </c>
      <c r="E198" s="19" t="n">
        <v>311.502038724923</v>
      </c>
      <c r="F198" s="19" t="n">
        <v>350.535787323375</v>
      </c>
      <c r="G198" s="12" t="n">
        <f aca="false">E198/Combined_Summary!$B$23</f>
        <v>1246.00815489969</v>
      </c>
      <c r="H198" s="12" t="n">
        <f aca="false">F198/Combined_Summary!$B$23</f>
        <v>1402.1431492935</v>
      </c>
      <c r="I198" s="12" t="n">
        <f aca="false">H198-G198</f>
        <v>156.134994393808</v>
      </c>
      <c r="J198" s="13" t="n">
        <f aca="false">IF(G198=0,"",I198/G198)</f>
        <v>0.125308164139887</v>
      </c>
    </row>
    <row r="199" customFormat="false" ht="15" hidden="false" customHeight="false" outlineLevel="0" collapsed="false">
      <c r="A199" s="3" t="n">
        <v>26009</v>
      </c>
      <c r="B199" s="3" t="n">
        <v>224075</v>
      </c>
      <c r="C199" s="18" t="n">
        <v>674</v>
      </c>
      <c r="D199" s="18" t="n">
        <v>674</v>
      </c>
      <c r="E199" s="19" t="n">
        <v>307.115967453411</v>
      </c>
      <c r="F199" s="19" t="n">
        <v>335.224647386138</v>
      </c>
      <c r="G199" s="12" t="n">
        <f aca="false">E199/Combined_Summary!$B$23</f>
        <v>1228.46386981364</v>
      </c>
      <c r="H199" s="12" t="n">
        <f aca="false">F199/Combined_Summary!$B$23</f>
        <v>1340.89858954455</v>
      </c>
      <c r="I199" s="12" t="n">
        <f aca="false">H199-G199</f>
        <v>112.434719730909</v>
      </c>
      <c r="J199" s="13" t="n">
        <f aca="false">IF(G199=0,"",I199/G199)</f>
        <v>0.0915246451228273</v>
      </c>
    </row>
    <row r="200" customFormat="false" ht="15" hidden="false" customHeight="false" outlineLevel="0" collapsed="false">
      <c r="A200" s="3" t="n">
        <v>26010</v>
      </c>
      <c r="B200" s="3" t="n">
        <v>230612</v>
      </c>
      <c r="C200" s="18" t="n">
        <v>175</v>
      </c>
      <c r="D200" s="18" t="n">
        <v>175</v>
      </c>
      <c r="E200" s="19" t="n">
        <v>311.581960885184</v>
      </c>
      <c r="F200" s="19" t="n">
        <v>354.990251988002</v>
      </c>
      <c r="G200" s="12" t="n">
        <f aca="false">E200/Combined_Summary!$B$23</f>
        <v>1246.32784354074</v>
      </c>
      <c r="H200" s="12" t="n">
        <f aca="false">F200/Combined_Summary!$B$23</f>
        <v>1419.96100795201</v>
      </c>
      <c r="I200" s="12" t="n">
        <f aca="false">H200-G200</f>
        <v>173.633164411272</v>
      </c>
      <c r="J200" s="13" t="n">
        <f aca="false">IF(G200=0,"",I200/G200)</f>
        <v>0.139315803069914</v>
      </c>
    </row>
    <row r="201" customFormat="false" ht="15" hidden="false" customHeight="false" outlineLevel="0" collapsed="false">
      <c r="A201" s="3" t="n">
        <v>26011</v>
      </c>
      <c r="B201" s="3" t="n">
        <v>223976</v>
      </c>
      <c r="C201" s="18" t="n">
        <v>642</v>
      </c>
      <c r="D201" s="18" t="n">
        <v>642</v>
      </c>
      <c r="E201" s="19" t="n">
        <v>336.159640018071</v>
      </c>
      <c r="F201" s="19" t="n">
        <v>358.99963061609</v>
      </c>
      <c r="G201" s="12" t="n">
        <f aca="false">E201/Combined_Summary!$B$23</f>
        <v>1344.63856007228</v>
      </c>
      <c r="H201" s="12" t="n">
        <f aca="false">F201/Combined_Summary!$B$23</f>
        <v>1435.99852246436</v>
      </c>
      <c r="I201" s="12" t="n">
        <f aca="false">H201-G201</f>
        <v>91.3599623920763</v>
      </c>
      <c r="J201" s="13" t="n">
        <f aca="false">IF(G201=0,"",I201/G201)</f>
        <v>0.0679438810583902</v>
      </c>
    </row>
    <row r="202" customFormat="false" ht="15" hidden="false" customHeight="false" outlineLevel="0" collapsed="false">
      <c r="A202" s="3" t="n">
        <v>26021</v>
      </c>
      <c r="B202" s="3" t="n">
        <v>224203</v>
      </c>
      <c r="C202" s="18" t="n">
        <v>832</v>
      </c>
      <c r="D202" s="18" t="n">
        <v>832</v>
      </c>
      <c r="E202" s="19" t="n">
        <v>335.264648231176</v>
      </c>
      <c r="F202" s="19" t="n">
        <v>359.815774780053</v>
      </c>
      <c r="G202" s="12" t="n">
        <f aca="false">E202/Combined_Summary!$B$23</f>
        <v>1341.0585929247</v>
      </c>
      <c r="H202" s="12" t="n">
        <f aca="false">F202/Combined_Summary!$B$23</f>
        <v>1439.26309912021</v>
      </c>
      <c r="I202" s="12" t="n">
        <f aca="false">H202-G202</f>
        <v>98.2045061955084</v>
      </c>
      <c r="J202" s="13" t="n">
        <f aca="false">IF(G202=0,"",I202/G202)</f>
        <v>0.07322909432416</v>
      </c>
    </row>
    <row r="203" customFormat="false" ht="15" hidden="false" customHeight="false" outlineLevel="0" collapsed="false">
      <c r="A203" s="3" t="n">
        <v>26022</v>
      </c>
      <c r="B203" s="3" t="n">
        <v>224047</v>
      </c>
      <c r="C203" s="18" t="n">
        <v>608</v>
      </c>
      <c r="D203" s="18" t="n">
        <v>608</v>
      </c>
      <c r="E203" s="19" t="n">
        <v>325.665157449873</v>
      </c>
      <c r="F203" s="19" t="n">
        <v>352.478969599071</v>
      </c>
      <c r="G203" s="12" t="n">
        <f aca="false">E203/Combined_Summary!$B$23</f>
        <v>1302.66062979949</v>
      </c>
      <c r="H203" s="12" t="n">
        <f aca="false">F203/Combined_Summary!$B$23</f>
        <v>1409.91587839629</v>
      </c>
      <c r="I203" s="12" t="n">
        <f aca="false">H203-G203</f>
        <v>107.255248596794</v>
      </c>
      <c r="J203" s="13" t="n">
        <f aca="false">IF(G203=0,"",I203/G203)</f>
        <v>0.08233552633989</v>
      </c>
    </row>
    <row r="204" customFormat="false" ht="15" hidden="false" customHeight="false" outlineLevel="0" collapsed="false">
      <c r="A204" s="3" t="n">
        <v>26023</v>
      </c>
      <c r="B204" s="3" t="n">
        <v>223978</v>
      </c>
      <c r="C204" s="18" t="n">
        <v>478</v>
      </c>
      <c r="D204" s="18" t="n">
        <v>478</v>
      </c>
      <c r="E204" s="19" t="n">
        <v>338.229807953456</v>
      </c>
      <c r="F204" s="19" t="n">
        <v>356.682153214969</v>
      </c>
      <c r="G204" s="12" t="n">
        <f aca="false">E204/Combined_Summary!$B$23</f>
        <v>1352.91923181382</v>
      </c>
      <c r="H204" s="12" t="n">
        <f aca="false">F204/Combined_Summary!$B$23</f>
        <v>1426.72861285988</v>
      </c>
      <c r="I204" s="12" t="n">
        <f aca="false">H204-G204</f>
        <v>73.8093810460555</v>
      </c>
      <c r="J204" s="13" t="n">
        <f aca="false">IF(G204=0,"",I204/G204)</f>
        <v>0.0545556447941842</v>
      </c>
    </row>
    <row r="205" customFormat="false" ht="15" hidden="false" customHeight="false" outlineLevel="0" collapsed="false">
      <c r="A205" s="3" t="n">
        <v>26031</v>
      </c>
      <c r="B205" s="3" t="n">
        <v>224195</v>
      </c>
      <c r="C205" s="18" t="n">
        <v>520</v>
      </c>
      <c r="D205" s="18" t="n">
        <v>520</v>
      </c>
      <c r="E205" s="19" t="n">
        <v>311.970667215494</v>
      </c>
      <c r="F205" s="19" t="n">
        <v>325.845824182951</v>
      </c>
      <c r="G205" s="12" t="n">
        <f aca="false">E205/Combined_Summary!$B$23</f>
        <v>1247.88266886198</v>
      </c>
      <c r="H205" s="12" t="n">
        <f aca="false">F205/Combined_Summary!$B$23</f>
        <v>1303.3832967318</v>
      </c>
      <c r="I205" s="12" t="n">
        <f aca="false">H205-G205</f>
        <v>55.5006278698259</v>
      </c>
      <c r="J205" s="13" t="n">
        <f aca="false">IF(G205=0,"",I205/G205)</f>
        <v>0.0444758383578165</v>
      </c>
    </row>
    <row r="206" customFormat="false" ht="15" hidden="false" customHeight="false" outlineLevel="0" collapsed="false">
      <c r="A206" s="3" t="n">
        <v>26032</v>
      </c>
      <c r="B206" s="3" t="n">
        <v>224164</v>
      </c>
      <c r="C206" s="18" t="n">
        <v>1123</v>
      </c>
      <c r="D206" s="18" t="n">
        <v>1123</v>
      </c>
      <c r="E206" s="19" t="n">
        <v>331.732444460861</v>
      </c>
      <c r="F206" s="19" t="n">
        <v>352.638705857397</v>
      </c>
      <c r="G206" s="12" t="n">
        <f aca="false">E206/Combined_Summary!$B$23</f>
        <v>1326.92977784344</v>
      </c>
      <c r="H206" s="12" t="n">
        <f aca="false">F206/Combined_Summary!$B$23</f>
        <v>1410.55482342959</v>
      </c>
      <c r="I206" s="12" t="n">
        <f aca="false">H206-G206</f>
        <v>83.6250455861416</v>
      </c>
      <c r="J206" s="13" t="n">
        <f aca="false">IF(G206=0,"",I206/G206)</f>
        <v>0.0630214552288146</v>
      </c>
    </row>
    <row r="207" customFormat="false" ht="15" hidden="false" customHeight="false" outlineLevel="0" collapsed="false">
      <c r="A207" s="3" t="n">
        <v>26033</v>
      </c>
      <c r="B207" s="3" t="n">
        <v>223345</v>
      </c>
      <c r="C207" s="18" t="n">
        <v>749</v>
      </c>
      <c r="D207" s="18" t="n">
        <v>749</v>
      </c>
      <c r="E207" s="19" t="n">
        <v>316.54661784153</v>
      </c>
      <c r="F207" s="19" t="n">
        <v>342.523949901953</v>
      </c>
      <c r="G207" s="12" t="n">
        <f aca="false">E207/Combined_Summary!$B$23</f>
        <v>1266.18647136612</v>
      </c>
      <c r="H207" s="12" t="n">
        <f aca="false">F207/Combined_Summary!$B$23</f>
        <v>1370.09579960781</v>
      </c>
      <c r="I207" s="12" t="n">
        <f aca="false">H207-G207</f>
        <v>103.909328241692</v>
      </c>
      <c r="J207" s="13" t="n">
        <f aca="false">IF(G207=0,"",I207/G207)</f>
        <v>0.08206479108056</v>
      </c>
    </row>
    <row r="208" customFormat="false" ht="15" hidden="false" customHeight="false" outlineLevel="0" collapsed="false">
      <c r="A208" s="3" t="n">
        <v>26040</v>
      </c>
      <c r="B208" s="3" t="n">
        <v>224297</v>
      </c>
      <c r="C208" s="18" t="n">
        <v>549</v>
      </c>
      <c r="D208" s="18" t="n">
        <v>549</v>
      </c>
      <c r="E208" s="19" t="n">
        <v>328.288129712715</v>
      </c>
      <c r="F208" s="19" t="n">
        <v>364.40463932225</v>
      </c>
      <c r="G208" s="12" t="n">
        <f aca="false">E208/Combined_Summary!$B$23</f>
        <v>1313.15251885086</v>
      </c>
      <c r="H208" s="12" t="n">
        <f aca="false">F208/Combined_Summary!$B$23</f>
        <v>1457.618557289</v>
      </c>
      <c r="I208" s="12" t="n">
        <f aca="false">H208-G208</f>
        <v>144.46603843814</v>
      </c>
      <c r="J208" s="13" t="n">
        <f aca="false">IF(G208=0,"",I208/G208)</f>
        <v>0.11001466803305</v>
      </c>
    </row>
    <row r="209" customFormat="false" ht="15" hidden="false" customHeight="false" outlineLevel="0" collapsed="false">
      <c r="A209" s="3" t="n">
        <v>26041</v>
      </c>
      <c r="B209" s="3" t="n">
        <v>230625</v>
      </c>
      <c r="C209" s="18" t="n">
        <v>145</v>
      </c>
      <c r="D209" s="18" t="n">
        <v>145</v>
      </c>
      <c r="E209" s="19" t="n">
        <v>285.323535998114</v>
      </c>
      <c r="F209" s="19" t="n">
        <v>316.413462040342</v>
      </c>
      <c r="G209" s="12" t="n">
        <f aca="false">E209/Combined_Summary!$B$23</f>
        <v>1141.29414399246</v>
      </c>
      <c r="H209" s="12" t="n">
        <f aca="false">F209/Combined_Summary!$B$23</f>
        <v>1265.65384816137</v>
      </c>
      <c r="I209" s="12" t="n">
        <f aca="false">H209-G209</f>
        <v>124.359704168912</v>
      </c>
      <c r="J209" s="13" t="n">
        <f aca="false">IF(G209=0,"",I209/G209)</f>
        <v>0.108963762605387</v>
      </c>
    </row>
    <row r="210" customFormat="false" ht="15" hidden="false" customHeight="false" outlineLevel="0" collapsed="false">
      <c r="A210" s="3" t="n">
        <v>26042</v>
      </c>
      <c r="B210" s="3" t="n">
        <v>224173</v>
      </c>
      <c r="C210" s="18" t="n">
        <v>852</v>
      </c>
      <c r="D210" s="18" t="n">
        <v>852</v>
      </c>
      <c r="E210" s="19" t="n">
        <v>191.71780678476</v>
      </c>
      <c r="F210" s="19" t="n">
        <v>237.575486698061</v>
      </c>
      <c r="G210" s="12" t="n">
        <f aca="false">E210/Combined_Summary!$B$23</f>
        <v>766.871227139039</v>
      </c>
      <c r="H210" s="12" t="n">
        <f aca="false">F210/Combined_Summary!$B$23</f>
        <v>950.301946792244</v>
      </c>
      <c r="I210" s="12" t="n">
        <f aca="false">H210-G210</f>
        <v>183.430719653206</v>
      </c>
      <c r="J210" s="13" t="n">
        <f aca="false">IF(G210=0,"",I210/G210)</f>
        <v>0.239193639247008</v>
      </c>
    </row>
    <row r="211" customFormat="false" ht="15" hidden="false" customHeight="false" outlineLevel="0" collapsed="false">
      <c r="A211" s="3" t="n">
        <v>26047</v>
      </c>
      <c r="B211" s="3" t="n">
        <v>224364</v>
      </c>
      <c r="C211" s="18" t="n">
        <v>752</v>
      </c>
      <c r="D211" s="18" t="n">
        <v>752</v>
      </c>
      <c r="E211" s="19" t="n">
        <v>311.998096212428</v>
      </c>
      <c r="F211" s="19" t="n">
        <v>342.261648827411</v>
      </c>
      <c r="G211" s="12" t="n">
        <f aca="false">E211/Combined_Summary!$B$23</f>
        <v>1247.99238484971</v>
      </c>
      <c r="H211" s="12" t="n">
        <f aca="false">F211/Combined_Summary!$B$23</f>
        <v>1369.04659530964</v>
      </c>
      <c r="I211" s="12" t="n">
        <f aca="false">H211-G211</f>
        <v>121.054210459932</v>
      </c>
      <c r="J211" s="13" t="n">
        <f aca="false">IF(G211=0,"",I211/G211)</f>
        <v>0.0969991579512005</v>
      </c>
    </row>
    <row r="212" customFormat="false" ht="15" hidden="false" customHeight="false" outlineLevel="0" collapsed="false">
      <c r="A212" s="3" t="n">
        <v>26048</v>
      </c>
      <c r="B212" s="3" t="n">
        <v>757236</v>
      </c>
      <c r="C212" s="18" t="n">
        <v>1518</v>
      </c>
      <c r="D212" s="18" t="n">
        <v>1518</v>
      </c>
      <c r="E212" s="19" t="n">
        <v>227.94619560493</v>
      </c>
      <c r="F212" s="19" t="n">
        <v>272.896651995512</v>
      </c>
      <c r="G212" s="12" t="n">
        <f aca="false">E212/Combined_Summary!$B$23</f>
        <v>911.78478241972</v>
      </c>
      <c r="H212" s="12" t="n">
        <f aca="false">F212/Combined_Summary!$B$23</f>
        <v>1091.58660798205</v>
      </c>
      <c r="I212" s="12" t="n">
        <f aca="false">H212-G212</f>
        <v>179.801825562328</v>
      </c>
      <c r="J212" s="13" t="n">
        <f aca="false">IF(G212=0,"",I212/G212)</f>
        <v>0.197197660049957</v>
      </c>
    </row>
    <row r="213" customFormat="false" ht="15" hidden="false" customHeight="false" outlineLevel="0" collapsed="false">
      <c r="A213" s="3" t="n">
        <v>26066</v>
      </c>
      <c r="B213" s="3" t="n">
        <v>224158</v>
      </c>
      <c r="C213" s="18" t="n">
        <v>548</v>
      </c>
      <c r="D213" s="18" t="n">
        <v>548</v>
      </c>
      <c r="E213" s="19" t="n">
        <v>326.365505190661</v>
      </c>
      <c r="F213" s="19" t="n">
        <v>349.562943994564</v>
      </c>
      <c r="G213" s="12" t="n">
        <f aca="false">E213/Combined_Summary!$B$23</f>
        <v>1305.46202076265</v>
      </c>
      <c r="H213" s="12" t="n">
        <f aca="false">F213/Combined_Summary!$B$23</f>
        <v>1398.25177597826</v>
      </c>
      <c r="I213" s="12" t="n">
        <f aca="false">H213-G213</f>
        <v>92.7897552156105</v>
      </c>
      <c r="J213" s="13" t="n">
        <f aca="false">IF(G213=0,"",I213/G213)</f>
        <v>0.0710780962906934</v>
      </c>
    </row>
    <row r="214" customFormat="false" ht="15" hidden="false" customHeight="false" outlineLevel="0" collapsed="false">
      <c r="A214" s="3" t="n">
        <v>26082</v>
      </c>
      <c r="B214" s="3" t="n">
        <v>224287</v>
      </c>
      <c r="C214" s="18" t="n">
        <v>932</v>
      </c>
      <c r="D214" s="18" t="n">
        <v>932</v>
      </c>
      <c r="E214" s="19" t="n">
        <v>343.927199613383</v>
      </c>
      <c r="F214" s="19" t="n">
        <v>363.803382357814</v>
      </c>
      <c r="G214" s="12" t="n">
        <f aca="false">E214/Combined_Summary!$B$23</f>
        <v>1375.70879845353</v>
      </c>
      <c r="H214" s="12" t="n">
        <f aca="false">F214/Combined_Summary!$B$23</f>
        <v>1455.21352943126</v>
      </c>
      <c r="I214" s="12" t="n">
        <f aca="false">H214-G214</f>
        <v>79.5047309777256</v>
      </c>
      <c r="J214" s="13" t="n">
        <f aca="false">IF(G214=0,"",I214/G214)</f>
        <v>0.0577918314305315</v>
      </c>
    </row>
    <row r="215" customFormat="false" ht="15" hidden="false" customHeight="false" outlineLevel="0" collapsed="false">
      <c r="A215" s="3" t="n">
        <v>26102</v>
      </c>
      <c r="B215" s="3" t="n">
        <v>649188</v>
      </c>
      <c r="C215" s="18" t="n">
        <v>16</v>
      </c>
      <c r="D215" s="18" t="n">
        <v>16</v>
      </c>
      <c r="E215" s="19" t="n">
        <v>281.127663612366</v>
      </c>
      <c r="F215" s="19" t="n">
        <v>319.691974639893</v>
      </c>
      <c r="G215" s="12" t="n">
        <f aca="false">E215/Combined_Summary!$B$23</f>
        <v>1124.51065444946</v>
      </c>
      <c r="H215" s="12" t="n">
        <f aca="false">F215/Combined_Summary!$B$23</f>
        <v>1278.76789855957</v>
      </c>
      <c r="I215" s="12" t="n">
        <f aca="false">H215-G215</f>
        <v>154.257244110107</v>
      </c>
      <c r="J215" s="13" t="n">
        <f aca="false">IF(G215=0,"",I215/G215)</f>
        <v>0.137177218819353</v>
      </c>
    </row>
    <row r="216" customFormat="false" ht="15" hidden="false" customHeight="false" outlineLevel="0" collapsed="false">
      <c r="A216" s="3" t="n">
        <v>30524</v>
      </c>
      <c r="B216" s="3" t="n">
        <v>224003</v>
      </c>
      <c r="C216" s="18" t="n">
        <v>310</v>
      </c>
      <c r="D216" s="18" t="n">
        <v>310</v>
      </c>
      <c r="E216" s="19" t="n">
        <v>354.059263635451</v>
      </c>
      <c r="F216" s="19" t="n">
        <v>379.590004311839</v>
      </c>
      <c r="G216" s="12" t="n">
        <f aca="false">E216/Combined_Summary!$B$23</f>
        <v>1416.2370545418</v>
      </c>
      <c r="H216" s="12" t="n">
        <f aca="false">F216/Combined_Summary!$B$23</f>
        <v>1518.36001724735</v>
      </c>
      <c r="I216" s="12" t="n">
        <f aca="false">H216-G216</f>
        <v>102.122962705551</v>
      </c>
      <c r="J216" s="13" t="n">
        <f aca="false">IF(G216=0,"",I216/G216)</f>
        <v>0.0721086645615206</v>
      </c>
    </row>
    <row r="217" customFormat="false" ht="15" hidden="false" customHeight="false" outlineLevel="0" collapsed="false">
      <c r="A217" s="3" t="n">
        <v>30525</v>
      </c>
      <c r="B217" s="3" t="n">
        <v>224022</v>
      </c>
      <c r="C217" s="18" t="n">
        <v>139</v>
      </c>
      <c r="D217" s="18" t="n">
        <v>139</v>
      </c>
      <c r="E217" s="19" t="n">
        <v>340.457665642388</v>
      </c>
      <c r="F217" s="19" t="n">
        <v>367.896980120981</v>
      </c>
      <c r="G217" s="12" t="n">
        <f aca="false">E217/Combined_Summary!$B$23</f>
        <v>1361.83066256955</v>
      </c>
      <c r="H217" s="12" t="n">
        <f aca="false">F217/Combined_Summary!$B$23</f>
        <v>1471.58792048393</v>
      </c>
      <c r="I217" s="12" t="n">
        <f aca="false">H217-G217</f>
        <v>109.757257914372</v>
      </c>
      <c r="J217" s="13" t="n">
        <f aca="false">IF(G217=0,"",I217/G217)</f>
        <v>0.0805953786554328</v>
      </c>
    </row>
    <row r="218" customFormat="false" ht="15" hidden="false" customHeight="false" outlineLevel="0" collapsed="false">
      <c r="A218" s="3" t="n">
        <v>30526</v>
      </c>
      <c r="B218" s="3" t="n">
        <v>224023</v>
      </c>
      <c r="C218" s="18" t="n">
        <v>217</v>
      </c>
      <c r="D218" s="18" t="n">
        <v>217</v>
      </c>
      <c r="E218" s="19" t="n">
        <v>310.469923625893</v>
      </c>
      <c r="F218" s="19" t="n">
        <v>338.846955998153</v>
      </c>
      <c r="G218" s="12" t="n">
        <f aca="false">E218/Combined_Summary!$B$23</f>
        <v>1241.87969450357</v>
      </c>
      <c r="H218" s="12" t="n">
        <f aca="false">F218/Combined_Summary!$B$23</f>
        <v>1355.38782399261</v>
      </c>
      <c r="I218" s="12" t="n">
        <f aca="false">H218-G218</f>
        <v>113.508129489037</v>
      </c>
      <c r="J218" s="13" t="n">
        <f aca="false">IF(G218=0,"",I218/G218)</f>
        <v>0.0914002620313483</v>
      </c>
    </row>
    <row r="219" customFormat="false" ht="15" hidden="false" customHeight="false" outlineLevel="0" collapsed="false">
      <c r="A219" s="3" t="n">
        <v>30527</v>
      </c>
      <c r="B219" s="3" t="n">
        <v>224160</v>
      </c>
      <c r="C219" s="18" t="n">
        <v>540</v>
      </c>
      <c r="D219" s="18" t="n">
        <v>540</v>
      </c>
      <c r="E219" s="19" t="n">
        <v>331.876798587375</v>
      </c>
      <c r="F219" s="19" t="n">
        <v>358.062988606206</v>
      </c>
      <c r="G219" s="12" t="n">
        <f aca="false">E219/Combined_Summary!$B$23</f>
        <v>1327.5071943495</v>
      </c>
      <c r="H219" s="12" t="n">
        <f aca="false">F219/Combined_Summary!$B$23</f>
        <v>1432.25195442482</v>
      </c>
      <c r="I219" s="12" t="n">
        <f aca="false">H219-G219</f>
        <v>104.744760075322</v>
      </c>
      <c r="J219" s="13" t="n">
        <f aca="false">IF(G219=0,"",I219/G219)</f>
        <v>0.0789033464535373</v>
      </c>
    </row>
    <row r="220" customFormat="false" ht="15" hidden="false" customHeight="false" outlineLevel="0" collapsed="false">
      <c r="A220" s="3" t="n">
        <v>30528</v>
      </c>
      <c r="B220" s="3" t="n">
        <v>223972</v>
      </c>
      <c r="C220" s="18" t="n">
        <v>488</v>
      </c>
      <c r="D220" s="18" t="n">
        <v>488</v>
      </c>
      <c r="E220" s="19" t="n">
        <v>335.30527887188</v>
      </c>
      <c r="F220" s="19" t="n">
        <v>361.189411038258</v>
      </c>
      <c r="G220" s="12" t="n">
        <f aca="false">E220/Combined_Summary!$B$23</f>
        <v>1341.22111548752</v>
      </c>
      <c r="H220" s="12" t="n">
        <f aca="false">F220/Combined_Summary!$B$23</f>
        <v>1444.75764415303</v>
      </c>
      <c r="I220" s="12" t="n">
        <f aca="false">H220-G220</f>
        <v>103.536528665511</v>
      </c>
      <c r="J220" s="13" t="n">
        <f aca="false">IF(G220=0,"",I220/G220)</f>
        <v>0.0771957192367022</v>
      </c>
    </row>
    <row r="221" customFormat="false" ht="15" hidden="false" customHeight="false" outlineLevel="0" collapsed="false">
      <c r="A221" s="3" t="n">
        <v>30540</v>
      </c>
      <c r="B221" s="3" t="n">
        <v>224027</v>
      </c>
      <c r="C221" s="18" t="n">
        <v>3219</v>
      </c>
      <c r="D221" s="18" t="n">
        <v>3219</v>
      </c>
      <c r="E221" s="19" t="n">
        <v>341.746004029363</v>
      </c>
      <c r="F221" s="19" t="n">
        <v>369.169239258685</v>
      </c>
      <c r="G221" s="12" t="n">
        <f aca="false">E221/Combined_Summary!$B$23</f>
        <v>1366.98401611745</v>
      </c>
      <c r="H221" s="12" t="n">
        <f aca="false">F221/Combined_Summary!$B$23</f>
        <v>1476.67695703474</v>
      </c>
      <c r="I221" s="12" t="n">
        <f aca="false">H221-G221</f>
        <v>109.692940917286</v>
      </c>
      <c r="J221" s="13" t="n">
        <f aca="false">IF(G221=0,"",I221/G221)</f>
        <v>0.0802444941739985</v>
      </c>
    </row>
    <row r="222" customFormat="false" ht="15" hidden="false" customHeight="false" outlineLevel="0" collapsed="false">
      <c r="A222" s="3" t="n">
        <v>30541</v>
      </c>
      <c r="B222" s="3" t="n">
        <v>232126</v>
      </c>
      <c r="C222" s="18" t="n">
        <v>459</v>
      </c>
      <c r="D222" s="18" t="n">
        <v>459</v>
      </c>
      <c r="E222" s="19" t="n">
        <v>316.104144426732</v>
      </c>
      <c r="F222" s="19" t="n">
        <v>349.514734604779</v>
      </c>
      <c r="G222" s="12" t="n">
        <f aca="false">E222/Combined_Summary!$B$23</f>
        <v>1264.41657770693</v>
      </c>
      <c r="H222" s="12" t="n">
        <f aca="false">F222/Combined_Summary!$B$23</f>
        <v>1398.05893841912</v>
      </c>
      <c r="I222" s="12" t="n">
        <f aca="false">H222-G222</f>
        <v>133.642360712188</v>
      </c>
      <c r="J222" s="13" t="n">
        <f aca="false">IF(G222=0,"",I222/G222)</f>
        <v>0.105694881788527</v>
      </c>
    </row>
    <row r="223" customFormat="false" ht="15" hidden="false" customHeight="false" outlineLevel="0" collapsed="false">
      <c r="A223" s="3" t="n">
        <v>30542</v>
      </c>
      <c r="B223" s="3" t="n">
        <v>223905</v>
      </c>
      <c r="C223" s="18" t="n">
        <v>1244</v>
      </c>
      <c r="D223" s="18" t="n">
        <v>1244</v>
      </c>
      <c r="E223" s="19" t="n">
        <v>306.18647199735</v>
      </c>
      <c r="F223" s="19" t="n">
        <v>336.929738207262</v>
      </c>
      <c r="G223" s="12" t="n">
        <f aca="false">E223/Combined_Summary!$B$23</f>
        <v>1224.7458879894</v>
      </c>
      <c r="H223" s="12" t="n">
        <f aca="false">F223/Combined_Summary!$B$23</f>
        <v>1347.71895282905</v>
      </c>
      <c r="I223" s="12" t="n">
        <f aca="false">H223-G223</f>
        <v>122.973064839648</v>
      </c>
      <c r="J223" s="13" t="n">
        <f aca="false">IF(G223=0,"",I223/G223)</f>
        <v>0.10040700364508</v>
      </c>
    </row>
    <row r="224" customFormat="false" ht="15" hidden="false" customHeight="false" outlineLevel="0" collapsed="false">
      <c r="A224" s="3" t="n">
        <v>30556</v>
      </c>
      <c r="B224" s="3" t="n">
        <v>224029</v>
      </c>
      <c r="C224" s="18" t="n">
        <v>782</v>
      </c>
      <c r="D224" s="18" t="n">
        <v>782</v>
      </c>
      <c r="E224" s="19" t="n">
        <v>344.976285217363</v>
      </c>
      <c r="F224" s="19" t="n">
        <v>375.604001408648</v>
      </c>
      <c r="G224" s="12" t="n">
        <f aca="false">E224/Combined_Summary!$B$23</f>
        <v>1379.90514086945</v>
      </c>
      <c r="H224" s="12" t="n">
        <f aca="false">F224/Combined_Summary!$B$23</f>
        <v>1502.41600563459</v>
      </c>
      <c r="I224" s="12" t="n">
        <f aca="false">H224-G224</f>
        <v>122.510864765138</v>
      </c>
      <c r="J224" s="13" t="n">
        <f aca="false">IF(G224=0,"",I224/G224)</f>
        <v>0.088782091708091</v>
      </c>
    </row>
    <row r="225" customFormat="false" ht="15" hidden="false" customHeight="false" outlineLevel="0" collapsed="false">
      <c r="A225" s="3" t="n">
        <v>30557</v>
      </c>
      <c r="B225" s="3" t="n">
        <v>223968</v>
      </c>
      <c r="C225" s="18" t="n">
        <v>546</v>
      </c>
      <c r="D225" s="18" t="n">
        <v>546</v>
      </c>
      <c r="E225" s="19" t="n">
        <v>327.450583538293</v>
      </c>
      <c r="F225" s="19" t="n">
        <v>353.96801123427</v>
      </c>
      <c r="G225" s="12" t="n">
        <f aca="false">E225/Combined_Summary!$B$23</f>
        <v>1309.80233415317</v>
      </c>
      <c r="H225" s="12" t="n">
        <f aca="false">F225/Combined_Summary!$B$23</f>
        <v>1415.87204493708</v>
      </c>
      <c r="I225" s="12" t="n">
        <f aca="false">H225-G225</f>
        <v>106.069710783906</v>
      </c>
      <c r="J225" s="13" t="n">
        <f aca="false">IF(G225=0,"",I225/G225)</f>
        <v>0.0809814641630512</v>
      </c>
    </row>
    <row r="226" customFormat="false" ht="15" hidden="false" customHeight="false" outlineLevel="0" collapsed="false">
      <c r="A226" s="3" t="n">
        <v>30568</v>
      </c>
      <c r="B226" s="3" t="n">
        <v>224032</v>
      </c>
      <c r="C226" s="18" t="n">
        <v>724</v>
      </c>
      <c r="D226" s="18" t="n">
        <v>724</v>
      </c>
      <c r="E226" s="19" t="n">
        <v>354.822641298916</v>
      </c>
      <c r="F226" s="19" t="n">
        <v>384.194459272353</v>
      </c>
      <c r="G226" s="12" t="n">
        <f aca="false">E226/Combined_Summary!$B$23</f>
        <v>1419.29056519566</v>
      </c>
      <c r="H226" s="12" t="n">
        <f aca="false">F226/Combined_Summary!$B$23</f>
        <v>1536.77783708941</v>
      </c>
      <c r="I226" s="12" t="n">
        <f aca="false">H226-G226</f>
        <v>117.487271893749</v>
      </c>
      <c r="J226" s="13" t="n">
        <f aca="false">IF(G226=0,"",I226/G226)</f>
        <v>0.082778871906016</v>
      </c>
    </row>
    <row r="227" customFormat="false" ht="15" hidden="false" customHeight="false" outlineLevel="0" collapsed="false">
      <c r="A227" s="3" t="n">
        <v>30569</v>
      </c>
      <c r="B227" s="3" t="n">
        <v>232115</v>
      </c>
      <c r="C227" s="18" t="n">
        <v>626</v>
      </c>
      <c r="D227" s="18" t="n">
        <v>626</v>
      </c>
      <c r="E227" s="19" t="n">
        <v>333.736142825776</v>
      </c>
      <c r="F227" s="19" t="n">
        <v>361.796579915495</v>
      </c>
      <c r="G227" s="12" t="n">
        <f aca="false">E227/Combined_Summary!$B$23</f>
        <v>1334.9445713031</v>
      </c>
      <c r="H227" s="12" t="n">
        <f aca="false">F227/Combined_Summary!$B$23</f>
        <v>1447.18631966198</v>
      </c>
      <c r="I227" s="12" t="n">
        <f aca="false">H227-G227</f>
        <v>112.241748358876</v>
      </c>
      <c r="J227" s="13" t="n">
        <f aca="false">IF(G227=0,"",I227/G227)</f>
        <v>0.0840797069569051</v>
      </c>
    </row>
    <row r="228" customFormat="false" ht="15" hidden="false" customHeight="false" outlineLevel="0" collapsed="false">
      <c r="A228" s="3" t="n">
        <v>30584</v>
      </c>
      <c r="B228" s="3" t="n">
        <v>232121</v>
      </c>
      <c r="C228" s="18" t="n">
        <v>688</v>
      </c>
      <c r="D228" s="18" t="n">
        <v>688</v>
      </c>
      <c r="E228" s="19" t="n">
        <v>331.459276853606</v>
      </c>
      <c r="F228" s="19" t="n">
        <v>362.547076857367</v>
      </c>
      <c r="G228" s="12" t="n">
        <f aca="false">E228/Combined_Summary!$B$23</f>
        <v>1325.83710741442</v>
      </c>
      <c r="H228" s="12" t="n">
        <f aca="false">F228/Combined_Summary!$B$23</f>
        <v>1450.18830742947</v>
      </c>
      <c r="I228" s="12" t="n">
        <f aca="false">H228-G228</f>
        <v>124.351200015046</v>
      </c>
      <c r="J228" s="13" t="n">
        <f aca="false">IF(G228=0,"",I228/G228)</f>
        <v>0.0937907072593169</v>
      </c>
    </row>
    <row r="229" customFormat="false" ht="15" hidden="false" customHeight="false" outlineLevel="0" collapsed="false">
      <c r="A229" s="3" t="n">
        <v>30585</v>
      </c>
      <c r="B229" s="3" t="n">
        <v>232107</v>
      </c>
      <c r="C229" s="18" t="n">
        <v>565</v>
      </c>
      <c r="D229" s="18" t="n">
        <v>565</v>
      </c>
      <c r="E229" s="19" t="n">
        <v>336.851285498965</v>
      </c>
      <c r="F229" s="19" t="n">
        <v>362.831613780334</v>
      </c>
      <c r="G229" s="12" t="n">
        <f aca="false">E229/Combined_Summary!$B$23</f>
        <v>1347.40514199586</v>
      </c>
      <c r="H229" s="12" t="n">
        <f aca="false">F229/Combined_Summary!$B$23</f>
        <v>1451.32645512134</v>
      </c>
      <c r="I229" s="12" t="n">
        <f aca="false">H229-G229</f>
        <v>103.921313125476</v>
      </c>
      <c r="J229" s="13" t="n">
        <f aca="false">IF(G229=0,"",I229/G229)</f>
        <v>0.077126997579615</v>
      </c>
    </row>
    <row r="230" customFormat="false" ht="15" hidden="false" customHeight="false" outlineLevel="0" collapsed="false">
      <c r="A230" s="3" t="n">
        <v>30592</v>
      </c>
      <c r="B230" s="3" t="n">
        <v>232105</v>
      </c>
      <c r="C230" s="18" t="n">
        <v>820</v>
      </c>
      <c r="D230" s="18" t="n">
        <v>820</v>
      </c>
      <c r="E230" s="19" t="n">
        <v>313.781915394853</v>
      </c>
      <c r="F230" s="19" t="n">
        <v>340.616790548185</v>
      </c>
      <c r="G230" s="12" t="n">
        <f aca="false">E230/Combined_Summary!$B$23</f>
        <v>1255.12766157941</v>
      </c>
      <c r="H230" s="12" t="n">
        <f aca="false">F230/Combined_Summary!$B$23</f>
        <v>1362.46716219274</v>
      </c>
      <c r="I230" s="12" t="n">
        <f aca="false">H230-G230</f>
        <v>107.339500613329</v>
      </c>
      <c r="J230" s="13" t="n">
        <f aca="false">IF(G230=0,"",I230/G230)</f>
        <v>0.0855207831833269</v>
      </c>
    </row>
    <row r="231" customFormat="false" ht="15" hidden="false" customHeight="false" outlineLevel="0" collapsed="false">
      <c r="A231" s="3" t="n">
        <v>30604</v>
      </c>
      <c r="B231" s="3" t="n">
        <v>224105</v>
      </c>
      <c r="C231" s="18" t="n">
        <v>1001</v>
      </c>
      <c r="D231" s="18" t="n">
        <v>1001</v>
      </c>
      <c r="E231" s="19" t="n">
        <v>351.531115765338</v>
      </c>
      <c r="F231" s="19" t="n">
        <v>381.32816524296</v>
      </c>
      <c r="G231" s="12" t="n">
        <f aca="false">E231/Combined_Summary!$B$23</f>
        <v>1406.12446306135</v>
      </c>
      <c r="H231" s="12" t="n">
        <f aca="false">F231/Combined_Summary!$B$23</f>
        <v>1525.31266097184</v>
      </c>
      <c r="I231" s="12" t="n">
        <f aca="false">H231-G231</f>
        <v>119.188197910488</v>
      </c>
      <c r="J231" s="13" t="n">
        <f aca="false">IF(G231=0,"",I231/G231)</f>
        <v>0.08476361875605</v>
      </c>
    </row>
    <row r="232" customFormat="false" ht="15" hidden="false" customHeight="false" outlineLevel="0" collapsed="false">
      <c r="A232" s="3" t="n">
        <v>30605</v>
      </c>
      <c r="B232" s="3" t="n">
        <v>224070</v>
      </c>
      <c r="C232" s="18" t="n">
        <v>737</v>
      </c>
      <c r="D232" s="18" t="n">
        <v>737</v>
      </c>
      <c r="E232" s="19" t="n">
        <v>334.695590765861</v>
      </c>
      <c r="F232" s="19" t="n">
        <v>360.683897548971</v>
      </c>
      <c r="G232" s="12" t="n">
        <f aca="false">E232/Combined_Summary!$B$23</f>
        <v>1338.78236306344</v>
      </c>
      <c r="H232" s="12" t="n">
        <f aca="false">F232/Combined_Summary!$B$23</f>
        <v>1442.73559019588</v>
      </c>
      <c r="I232" s="12" t="n">
        <f aca="false">H232-G232</f>
        <v>103.953227132437</v>
      </c>
      <c r="J232" s="13" t="n">
        <f aca="false">IF(G232=0,"",I232/G232)</f>
        <v>0.0776475923200602</v>
      </c>
    </row>
    <row r="233" customFormat="false" ht="15" hidden="false" customHeight="false" outlineLevel="0" collapsed="false">
      <c r="A233" s="3" t="n">
        <v>30606</v>
      </c>
      <c r="B233" s="3" t="n">
        <v>649946</v>
      </c>
      <c r="C233" s="18" t="n">
        <v>16</v>
      </c>
      <c r="D233" s="18" t="n">
        <v>16</v>
      </c>
      <c r="E233" s="19" t="n">
        <v>351.720989227295</v>
      </c>
      <c r="F233" s="19" t="n">
        <v>379.012077331543</v>
      </c>
      <c r="G233" s="12" t="n">
        <f aca="false">E233/Combined_Summary!$B$23</f>
        <v>1406.88395690918</v>
      </c>
      <c r="H233" s="12" t="n">
        <f aca="false">F233/Combined_Summary!$B$23</f>
        <v>1516.04830932617</v>
      </c>
      <c r="I233" s="12" t="n">
        <f aca="false">H233-G233</f>
        <v>109.164352416992</v>
      </c>
      <c r="J233" s="13" t="n">
        <f aca="false">IF(G233=0,"",I233/G233)</f>
        <v>0.0775930039438494</v>
      </c>
    </row>
    <row r="234" customFormat="false" ht="15" hidden="false" customHeight="false" outlineLevel="0" collapsed="false">
      <c r="A234" s="3" t="n">
        <v>30607</v>
      </c>
      <c r="B234" s="3" t="n">
        <v>223967</v>
      </c>
      <c r="C234" s="18" t="n">
        <v>812</v>
      </c>
      <c r="D234" s="18" t="n">
        <v>812</v>
      </c>
      <c r="E234" s="19" t="n">
        <v>322.257149217164</v>
      </c>
      <c r="F234" s="19" t="n">
        <v>348.839472512306</v>
      </c>
      <c r="G234" s="12" t="n">
        <f aca="false">E234/Combined_Summary!$B$23</f>
        <v>1289.02859686866</v>
      </c>
      <c r="H234" s="12" t="n">
        <f aca="false">F234/Combined_Summary!$B$23</f>
        <v>1395.35789004923</v>
      </c>
      <c r="I234" s="12" t="n">
        <f aca="false">H234-G234</f>
        <v>106.329293180569</v>
      </c>
      <c r="J234" s="13" t="n">
        <f aca="false">IF(G234=0,"",I234/G234)</f>
        <v>0.0824879241925799</v>
      </c>
    </row>
    <row r="235" customFormat="false" ht="15" hidden="false" customHeight="false" outlineLevel="0" collapsed="false">
      <c r="A235" s="3" t="n">
        <v>30608</v>
      </c>
      <c r="B235" s="3" t="n">
        <v>223901</v>
      </c>
      <c r="C235" s="18" t="n">
        <v>945</v>
      </c>
      <c r="D235" s="18" t="n">
        <v>945</v>
      </c>
      <c r="E235" s="19" t="n">
        <v>331.813011032185</v>
      </c>
      <c r="F235" s="19" t="n">
        <v>354.794854833209</v>
      </c>
      <c r="G235" s="12" t="n">
        <f aca="false">E235/Combined_Summary!$B$23</f>
        <v>1327.25204412874</v>
      </c>
      <c r="H235" s="12" t="n">
        <f aca="false">F235/Combined_Summary!$B$23</f>
        <v>1419.17941933284</v>
      </c>
      <c r="I235" s="12" t="n">
        <f aca="false">H235-G235</f>
        <v>91.9273752040963</v>
      </c>
      <c r="J235" s="13" t="n">
        <f aca="false">IF(G235=0,"",I235/G235)</f>
        <v>0.0692614304952463</v>
      </c>
    </row>
    <row r="236" customFormat="false" ht="15" hidden="false" customHeight="false" outlineLevel="0" collapsed="false">
      <c r="A236" s="3" t="n">
        <v>30618</v>
      </c>
      <c r="B236" s="3" t="n">
        <v>223981</v>
      </c>
      <c r="C236" s="18" t="n">
        <v>1286</v>
      </c>
      <c r="D236" s="18" t="n">
        <v>1286</v>
      </c>
      <c r="E236" s="19" t="n">
        <v>329.852841666475</v>
      </c>
      <c r="F236" s="19" t="n">
        <v>345.59228886416</v>
      </c>
      <c r="G236" s="12" t="n">
        <f aca="false">E236/Combined_Summary!$B$23</f>
        <v>1319.4113666659</v>
      </c>
      <c r="H236" s="12" t="n">
        <f aca="false">F236/Combined_Summary!$B$23</f>
        <v>1382.36915545664</v>
      </c>
      <c r="I236" s="12" t="n">
        <f aca="false">H236-G236</f>
        <v>62.9577887907374</v>
      </c>
      <c r="J236" s="13" t="n">
        <f aca="false">IF(G236=0,"",I236/G236)</f>
        <v>0.0477165729971155</v>
      </c>
    </row>
    <row r="237" customFormat="false" ht="15" hidden="false" customHeight="false" outlineLevel="0" collapsed="false">
      <c r="A237" s="3" t="n">
        <v>30619</v>
      </c>
      <c r="B237" s="3" t="n">
        <v>223906</v>
      </c>
      <c r="C237" s="18" t="n">
        <v>146</v>
      </c>
      <c r="D237" s="18" t="n">
        <v>146</v>
      </c>
      <c r="E237" s="19" t="n">
        <v>285.138047518796</v>
      </c>
      <c r="F237" s="19" t="n">
        <v>296.902777841646</v>
      </c>
      <c r="G237" s="12" t="n">
        <f aca="false">E237/Combined_Summary!$B$23</f>
        <v>1140.55219007518</v>
      </c>
      <c r="H237" s="12" t="n">
        <f aca="false">F237/Combined_Summary!$B$23</f>
        <v>1187.61111136659</v>
      </c>
      <c r="I237" s="12" t="n">
        <f aca="false">H237-G237</f>
        <v>47.0589212914038</v>
      </c>
      <c r="J237" s="13" t="n">
        <f aca="false">IF(G237=0,"",I237/G237)</f>
        <v>0.0412597702243698</v>
      </c>
    </row>
    <row r="238" customFormat="false" ht="15" hidden="false" customHeight="false" outlineLevel="0" collapsed="false">
      <c r="A238" s="3" t="n">
        <v>30631</v>
      </c>
      <c r="B238" s="3" t="n">
        <v>232146</v>
      </c>
      <c r="C238" s="18" t="n">
        <v>856</v>
      </c>
      <c r="D238" s="18" t="n">
        <v>856</v>
      </c>
      <c r="E238" s="19" t="n">
        <v>344.581690734792</v>
      </c>
      <c r="F238" s="19" t="n">
        <v>381.276367570752</v>
      </c>
      <c r="G238" s="12" t="n">
        <f aca="false">E238/Combined_Summary!$B$23</f>
        <v>1378.32676293917</v>
      </c>
      <c r="H238" s="12" t="n">
        <f aca="false">F238/Combined_Summary!$B$23</f>
        <v>1525.10547028301</v>
      </c>
      <c r="I238" s="12" t="n">
        <f aca="false">H238-G238</f>
        <v>146.778707343841</v>
      </c>
      <c r="J238" s="13" t="n">
        <f aca="false">IF(G238=0,"",I238/G238)</f>
        <v>0.106490500867042</v>
      </c>
    </row>
    <row r="239" customFormat="false" ht="15" hidden="false" customHeight="false" outlineLevel="0" collapsed="false">
      <c r="A239" s="3" t="n">
        <v>30632</v>
      </c>
      <c r="B239" s="3" t="n">
        <v>230626</v>
      </c>
      <c r="C239" s="18" t="n">
        <v>139</v>
      </c>
      <c r="D239" s="18" t="n">
        <v>139</v>
      </c>
      <c r="E239" s="19" t="n">
        <v>351.356873436798</v>
      </c>
      <c r="F239" s="19" t="n">
        <v>396.268096045624</v>
      </c>
      <c r="G239" s="12" t="n">
        <f aca="false">E239/Combined_Summary!$B$23</f>
        <v>1405.42749374719</v>
      </c>
      <c r="H239" s="12" t="n">
        <f aca="false">F239/Combined_Summary!$B$23</f>
        <v>1585.0723841825</v>
      </c>
      <c r="I239" s="12" t="n">
        <f aca="false">H239-G239</f>
        <v>179.644890435308</v>
      </c>
      <c r="J239" s="13" t="n">
        <f aca="false">IF(G239=0,"",I239/G239)</f>
        <v>0.12782224001918</v>
      </c>
    </row>
    <row r="240" customFormat="false" ht="15" hidden="false" customHeight="false" outlineLevel="0" collapsed="false">
      <c r="A240" s="3" t="n">
        <v>30633</v>
      </c>
      <c r="B240" s="3" t="n">
        <v>224254</v>
      </c>
      <c r="C240" s="18" t="n">
        <v>614</v>
      </c>
      <c r="D240" s="18" t="n">
        <v>614</v>
      </c>
      <c r="E240" s="19" t="n">
        <v>315.764848069182</v>
      </c>
      <c r="F240" s="19" t="n">
        <v>363.72179278644</v>
      </c>
      <c r="G240" s="12" t="n">
        <f aca="false">E240/Combined_Summary!$B$23</f>
        <v>1263.05939227673</v>
      </c>
      <c r="H240" s="12" t="n">
        <f aca="false">F240/Combined_Summary!$B$23</f>
        <v>1454.88717114576</v>
      </c>
      <c r="I240" s="12" t="n">
        <f aca="false">H240-G240</f>
        <v>191.827778869032</v>
      </c>
      <c r="J240" s="13" t="n">
        <f aca="false">IF(G240=0,"",I240/G240)</f>
        <v>0.151875501692168</v>
      </c>
    </row>
    <row r="241" customFormat="false" ht="15" hidden="false" customHeight="false" outlineLevel="0" collapsed="false">
      <c r="A241" s="3" t="n">
        <v>30634</v>
      </c>
      <c r="B241" s="3" t="n">
        <v>224038</v>
      </c>
      <c r="C241" s="18" t="n">
        <v>748</v>
      </c>
      <c r="D241" s="18" t="n">
        <v>748</v>
      </c>
      <c r="E241" s="19" t="n">
        <v>341.182493123141</v>
      </c>
      <c r="F241" s="19" t="n">
        <v>367.14532550261</v>
      </c>
      <c r="G241" s="12" t="n">
        <f aca="false">E241/Combined_Summary!$B$23</f>
        <v>1364.72997249257</v>
      </c>
      <c r="H241" s="12" t="n">
        <f aca="false">F241/Combined_Summary!$B$23</f>
        <v>1468.58130201044</v>
      </c>
      <c r="I241" s="12" t="n">
        <f aca="false">H241-G241</f>
        <v>103.851329517874</v>
      </c>
      <c r="J241" s="13" t="n">
        <f aca="false">IF(G241=0,"",I241/G241)</f>
        <v>0.0760966136972859</v>
      </c>
    </row>
    <row r="242" customFormat="false" ht="15" hidden="false" customHeight="false" outlineLevel="0" collapsed="false">
      <c r="A242" s="3" t="n">
        <v>30635</v>
      </c>
      <c r="B242" s="3" t="n">
        <v>224004</v>
      </c>
      <c r="C242" s="18" t="n">
        <v>493</v>
      </c>
      <c r="D242" s="18" t="n">
        <v>493</v>
      </c>
      <c r="E242" s="19" t="n">
        <v>329.207119653481</v>
      </c>
      <c r="F242" s="19" t="n">
        <v>348.969071579753</v>
      </c>
      <c r="G242" s="12" t="n">
        <f aca="false">E242/Combined_Summary!$B$23</f>
        <v>1316.82847861392</v>
      </c>
      <c r="H242" s="12" t="n">
        <f aca="false">F242/Combined_Summary!$B$23</f>
        <v>1395.87628631901</v>
      </c>
      <c r="I242" s="12" t="n">
        <f aca="false">H242-G242</f>
        <v>79.0478077050884</v>
      </c>
      <c r="J242" s="13" t="n">
        <f aca="false">IF(G242=0,"",I242/G242)</f>
        <v>0.0600289323847955</v>
      </c>
    </row>
    <row r="243" customFormat="false" ht="15" hidden="false" customHeight="false" outlineLevel="0" collapsed="false">
      <c r="A243" s="3" t="n">
        <v>30645</v>
      </c>
      <c r="B243" s="3" t="n">
        <v>224295</v>
      </c>
      <c r="C243" s="18" t="n">
        <v>1102</v>
      </c>
      <c r="D243" s="18" t="n">
        <v>1102</v>
      </c>
      <c r="E243" s="19" t="n">
        <v>330.600518439513</v>
      </c>
      <c r="F243" s="19" t="n">
        <v>363.017133723153</v>
      </c>
      <c r="G243" s="12" t="n">
        <f aca="false">E243/Combined_Summary!$B$23</f>
        <v>1322.40207375805</v>
      </c>
      <c r="H243" s="12" t="n">
        <f aca="false">F243/Combined_Summary!$B$23</f>
        <v>1452.06853489261</v>
      </c>
      <c r="I243" s="12" t="n">
        <f aca="false">H243-G243</f>
        <v>129.666461134563</v>
      </c>
      <c r="J243" s="13" t="n">
        <f aca="false">IF(G243=0,"",I243/G243)</f>
        <v>0.0980537339646419</v>
      </c>
    </row>
    <row r="244" customFormat="false" ht="15" hidden="false" customHeight="false" outlineLevel="0" collapsed="false">
      <c r="A244" s="3" t="n">
        <v>30646</v>
      </c>
      <c r="B244" s="3" t="n">
        <v>224084</v>
      </c>
      <c r="C244" s="18" t="n">
        <v>693</v>
      </c>
      <c r="D244" s="18" t="n">
        <v>693</v>
      </c>
      <c r="E244" s="19" t="n">
        <v>332.100484289304</v>
      </c>
      <c r="F244" s="19" t="n">
        <v>367.405876159668</v>
      </c>
      <c r="G244" s="12" t="n">
        <f aca="false">E244/Combined_Summary!$B$23</f>
        <v>1328.40193715722</v>
      </c>
      <c r="H244" s="12" t="n">
        <f aca="false">F244/Combined_Summary!$B$23</f>
        <v>1469.62350463867</v>
      </c>
      <c r="I244" s="12" t="n">
        <f aca="false">H244-G244</f>
        <v>141.221567481455</v>
      </c>
      <c r="J244" s="13" t="n">
        <f aca="false">IF(G244=0,"",I244/G244)</f>
        <v>0.106309365811126</v>
      </c>
    </row>
    <row r="245" customFormat="false" ht="15" hidden="false" customHeight="false" outlineLevel="0" collapsed="false">
      <c r="A245" s="3" t="n">
        <v>30657</v>
      </c>
      <c r="B245" s="3" t="n">
        <v>224356</v>
      </c>
      <c r="C245" s="18" t="n">
        <v>655</v>
      </c>
      <c r="D245" s="18" t="n">
        <v>655</v>
      </c>
      <c r="E245" s="19" t="n">
        <v>322.881206250373</v>
      </c>
      <c r="F245" s="19" t="n">
        <v>348.307242065896</v>
      </c>
      <c r="G245" s="12" t="n">
        <f aca="false">E245/Combined_Summary!$B$23</f>
        <v>1291.52482500149</v>
      </c>
      <c r="H245" s="12" t="n">
        <f aca="false">F245/Combined_Summary!$B$23</f>
        <v>1393.22896826358</v>
      </c>
      <c r="I245" s="12" t="n">
        <f aca="false">H245-G245</f>
        <v>101.704143262092</v>
      </c>
      <c r="J245" s="13" t="n">
        <f aca="false">IF(G245=0,"",I245/G245)</f>
        <v>0.0787473390315778</v>
      </c>
    </row>
    <row r="246" customFormat="false" ht="15" hidden="false" customHeight="false" outlineLevel="0" collapsed="false">
      <c r="A246" s="3" t="n">
        <v>30658</v>
      </c>
      <c r="B246" s="3" t="n">
        <v>223973</v>
      </c>
      <c r="C246" s="18" t="n">
        <v>595</v>
      </c>
      <c r="D246" s="18" t="n">
        <v>595</v>
      </c>
      <c r="E246" s="19" t="n">
        <v>303.379409110446</v>
      </c>
      <c r="F246" s="19" t="n">
        <v>334.171686765527</v>
      </c>
      <c r="G246" s="12" t="n">
        <f aca="false">E246/Combined_Summary!$B$23</f>
        <v>1213.51763644178</v>
      </c>
      <c r="H246" s="12" t="n">
        <f aca="false">F246/Combined_Summary!$B$23</f>
        <v>1336.68674706211</v>
      </c>
      <c r="I246" s="12" t="n">
        <f aca="false">H246-G246</f>
        <v>123.169110620322</v>
      </c>
      <c r="J246" s="13" t="n">
        <f aca="false">IF(G246=0,"",I246/G246)</f>
        <v>0.101497585961315</v>
      </c>
    </row>
    <row r="247" customFormat="false" ht="15" hidden="false" customHeight="false" outlineLevel="0" collapsed="false">
      <c r="A247" s="3" t="n">
        <v>30659</v>
      </c>
      <c r="B247" s="3" t="n">
        <v>230606</v>
      </c>
      <c r="C247" s="18" t="n">
        <v>235</v>
      </c>
      <c r="D247" s="18" t="n">
        <v>235</v>
      </c>
      <c r="E247" s="19" t="n">
        <v>304.512792416836</v>
      </c>
      <c r="F247" s="19" t="n">
        <v>336.514915823429</v>
      </c>
      <c r="G247" s="12" t="n">
        <f aca="false">E247/Combined_Summary!$B$23</f>
        <v>1218.05116966735</v>
      </c>
      <c r="H247" s="12" t="n">
        <f aca="false">F247/Combined_Summary!$B$23</f>
        <v>1346.05966329372</v>
      </c>
      <c r="I247" s="12" t="n">
        <f aca="false">H247-G247</f>
        <v>128.008493626371</v>
      </c>
      <c r="J247" s="13" t="n">
        <f aca="false">IF(G247=0,"",I247/G247)</f>
        <v>0.105092870327714</v>
      </c>
    </row>
    <row r="248" customFormat="false" ht="15" hidden="false" customHeight="false" outlineLevel="0" collapsed="false">
      <c r="A248" s="3" t="n">
        <v>30666</v>
      </c>
      <c r="B248" s="3" t="n">
        <v>230623</v>
      </c>
      <c r="C248" s="18" t="n">
        <v>198</v>
      </c>
      <c r="D248" s="18" t="n">
        <v>198</v>
      </c>
      <c r="E248" s="19" t="n">
        <v>299.370952952992</v>
      </c>
      <c r="F248" s="19" t="n">
        <v>337.845611880524</v>
      </c>
      <c r="G248" s="12" t="n">
        <f aca="false">E248/Combined_Summary!$B$23</f>
        <v>1197.48381181197</v>
      </c>
      <c r="H248" s="12" t="n">
        <f aca="false">F248/Combined_Summary!$B$23</f>
        <v>1351.3824475221</v>
      </c>
      <c r="I248" s="12" t="n">
        <f aca="false">H248-G248</f>
        <v>153.898635710129</v>
      </c>
      <c r="J248" s="13" t="n">
        <f aca="false">IF(G248=0,"",I248/G248)</f>
        <v>0.128518343373058</v>
      </c>
    </row>
    <row r="249" customFormat="false" ht="15" hidden="false" customHeight="false" outlineLevel="0" collapsed="false">
      <c r="A249" s="3" t="n">
        <v>30677</v>
      </c>
      <c r="B249" s="3" t="n">
        <v>224281</v>
      </c>
      <c r="C249" s="18" t="n">
        <v>423</v>
      </c>
      <c r="D249" s="18" t="n">
        <v>423</v>
      </c>
      <c r="E249" s="19" t="n">
        <v>305.247391170926</v>
      </c>
      <c r="F249" s="19" t="n">
        <v>324.151305106233</v>
      </c>
      <c r="G249" s="12" t="n">
        <f aca="false">E249/Combined_Summary!$B$23</f>
        <v>1220.9895646837</v>
      </c>
      <c r="H249" s="12" t="n">
        <f aca="false">F249/Combined_Summary!$B$23</f>
        <v>1296.60522042493</v>
      </c>
      <c r="I249" s="12" t="n">
        <f aca="false">H249-G249</f>
        <v>75.6156557412296</v>
      </c>
      <c r="J249" s="13" t="n">
        <f aca="false">IF(G249=0,"",I249/G249)</f>
        <v>0.0619298132665187</v>
      </c>
    </row>
    <row r="250" customFormat="false" ht="15" hidden="false" customHeight="false" outlineLevel="0" collapsed="false">
      <c r="A250" s="3" t="n">
        <v>30682</v>
      </c>
      <c r="B250" s="3" t="n">
        <v>224321</v>
      </c>
      <c r="C250" s="18" t="n">
        <v>880</v>
      </c>
      <c r="D250" s="18" t="n">
        <v>880</v>
      </c>
      <c r="E250" s="19" t="n">
        <v>335.641380830245</v>
      </c>
      <c r="F250" s="19" t="n">
        <v>369.991304466941</v>
      </c>
      <c r="G250" s="12" t="n">
        <f aca="false">E250/Combined_Summary!$B$23</f>
        <v>1342.56552332098</v>
      </c>
      <c r="H250" s="12" t="n">
        <f aca="false">F250/Combined_Summary!$B$23</f>
        <v>1479.96521786776</v>
      </c>
      <c r="I250" s="12" t="n">
        <f aca="false">H250-G250</f>
        <v>137.399694546786</v>
      </c>
      <c r="J250" s="13" t="n">
        <f aca="false">IF(G250=0,"",I250/G250)</f>
        <v>0.102341146230922</v>
      </c>
    </row>
    <row r="251" customFormat="false" ht="15" hidden="false" customHeight="false" outlineLevel="0" collapsed="false">
      <c r="A251" s="3" t="n">
        <v>30700</v>
      </c>
      <c r="B251" s="3" t="n">
        <v>806210</v>
      </c>
      <c r="C251" s="18" t="n">
        <v>929</v>
      </c>
      <c r="D251" s="18" t="n">
        <v>929</v>
      </c>
      <c r="E251" s="19" t="n">
        <v>326.389710737378</v>
      </c>
      <c r="F251" s="19" t="n">
        <v>358.264118461486</v>
      </c>
      <c r="G251" s="12" t="n">
        <f aca="false">E251/Combined_Summary!$B$23</f>
        <v>1305.55884294951</v>
      </c>
      <c r="H251" s="12" t="n">
        <f aca="false">F251/Combined_Summary!$B$23</f>
        <v>1433.05647384594</v>
      </c>
      <c r="I251" s="12" t="n">
        <f aca="false">H251-G251</f>
        <v>127.497630896429</v>
      </c>
      <c r="J251" s="13" t="n">
        <f aca="false">IF(G251=0,"",I251/G251)</f>
        <v>0.0976575139335637</v>
      </c>
    </row>
    <row r="252" customFormat="false" ht="15" hidden="false" customHeight="false" outlineLevel="0" collapsed="false">
      <c r="A252" s="3" t="n">
        <v>35200</v>
      </c>
      <c r="B252" s="3" t="n">
        <v>649550</v>
      </c>
      <c r="C252" s="18" t="n">
        <v>16</v>
      </c>
      <c r="D252" s="18" t="n">
        <v>16</v>
      </c>
      <c r="E252" s="19" t="n">
        <v>332.765718460083</v>
      </c>
      <c r="F252" s="19" t="n">
        <v>388.9627866745</v>
      </c>
      <c r="G252" s="12" t="n">
        <f aca="false">E252/Combined_Summary!$B$23</f>
        <v>1331.06287384033</v>
      </c>
      <c r="H252" s="12" t="n">
        <f aca="false">F252/Combined_Summary!$B$23</f>
        <v>1555.851146698</v>
      </c>
      <c r="I252" s="12" t="n">
        <f aca="false">H252-G252</f>
        <v>224.788272857666</v>
      </c>
      <c r="J252" s="13" t="n">
        <f aca="false">IF(G252=0,"",I252/G252)</f>
        <v>0.168878778963397</v>
      </c>
    </row>
    <row r="253" customFormat="false" ht="15" hidden="false" customHeight="false" outlineLevel="0" collapsed="false">
      <c r="A253" s="3" t="n">
        <v>35201</v>
      </c>
      <c r="B253" s="3" t="n">
        <v>232113</v>
      </c>
      <c r="C253" s="18" t="n">
        <v>655</v>
      </c>
      <c r="D253" s="18" t="n">
        <v>655</v>
      </c>
      <c r="E253" s="19" t="n">
        <v>303.057614689019</v>
      </c>
      <c r="F253" s="19" t="n">
        <v>336.877320046461</v>
      </c>
      <c r="G253" s="12" t="n">
        <f aca="false">E253/Combined_Summary!$B$23</f>
        <v>1212.23045875608</v>
      </c>
      <c r="H253" s="12" t="n">
        <f aca="false">F253/Combined_Summary!$B$23</f>
        <v>1347.50928018585</v>
      </c>
      <c r="I253" s="12" t="n">
        <f aca="false">H253-G253</f>
        <v>135.27882142977</v>
      </c>
      <c r="J253" s="13" t="n">
        <f aca="false">IF(G253=0,"",I253/G253)</f>
        <v>0.111594969795253</v>
      </c>
    </row>
    <row r="254" customFormat="false" ht="15" hidden="false" customHeight="false" outlineLevel="0" collapsed="false">
      <c r="A254" s="3" t="n">
        <v>35208</v>
      </c>
      <c r="B254" s="3" t="n">
        <v>224095</v>
      </c>
      <c r="C254" s="18" t="n">
        <v>733</v>
      </c>
      <c r="D254" s="18" t="n">
        <v>733</v>
      </c>
      <c r="E254" s="19" t="n">
        <v>332.418071882136</v>
      </c>
      <c r="F254" s="19" t="n">
        <v>356.89591432496</v>
      </c>
      <c r="G254" s="12" t="n">
        <f aca="false">E254/Combined_Summary!$B$23</f>
        <v>1329.67228752854</v>
      </c>
      <c r="H254" s="12" t="n">
        <f aca="false">F254/Combined_Summary!$B$23</f>
        <v>1427.58365729984</v>
      </c>
      <c r="I254" s="12" t="n">
        <f aca="false">H254-G254</f>
        <v>97.911369771294</v>
      </c>
      <c r="J254" s="13" t="n">
        <f aca="false">IF(G254=0,"",I254/G254)</f>
        <v>0.0736357151229205</v>
      </c>
    </row>
    <row r="255" customFormat="false" ht="15" hidden="false" customHeight="false" outlineLevel="0" collapsed="false">
      <c r="A255" s="3" t="n">
        <v>35209</v>
      </c>
      <c r="B255" s="3" t="n">
        <v>649553</v>
      </c>
      <c r="C255" s="18" t="n">
        <v>16</v>
      </c>
      <c r="D255" s="18" t="n">
        <v>16</v>
      </c>
      <c r="E255" s="19" t="n">
        <v>348.203254699707</v>
      </c>
      <c r="F255" s="19" t="n">
        <v>370.702592849731</v>
      </c>
      <c r="G255" s="12" t="n">
        <f aca="false">E255/Combined_Summary!$B$23</f>
        <v>1392.81301879883</v>
      </c>
      <c r="H255" s="12" t="n">
        <f aca="false">F255/Combined_Summary!$B$23</f>
        <v>1482.81037139893</v>
      </c>
      <c r="I255" s="12" t="n">
        <f aca="false">H255-G255</f>
        <v>89.9973526000977</v>
      </c>
      <c r="J255" s="13" t="n">
        <f aca="false">IF(G255=0,"",I255/G255)</f>
        <v>0.064615530861215</v>
      </c>
    </row>
    <row r="256" customFormat="false" ht="15" hidden="false" customHeight="false" outlineLevel="0" collapsed="false">
      <c r="A256" s="3" t="n">
        <v>35210</v>
      </c>
      <c r="B256" s="3" t="n">
        <v>232114</v>
      </c>
      <c r="C256" s="18" t="n">
        <v>525</v>
      </c>
      <c r="D256" s="18" t="n">
        <v>525</v>
      </c>
      <c r="E256" s="19" t="n">
        <v>334.768772539411</v>
      </c>
      <c r="F256" s="19" t="n">
        <v>353.260974702381</v>
      </c>
      <c r="G256" s="12" t="n">
        <f aca="false">E256/Combined_Summary!$B$23</f>
        <v>1339.07509015765</v>
      </c>
      <c r="H256" s="12" t="n">
        <f aca="false">F256/Combined_Summary!$B$23</f>
        <v>1413.04389880952</v>
      </c>
      <c r="I256" s="12" t="n">
        <f aca="false">H256-G256</f>
        <v>73.9688086518788</v>
      </c>
      <c r="J256" s="13" t="n">
        <f aca="false">IF(G256=0,"",I256/G256)</f>
        <v>0.0552387309685304</v>
      </c>
    </row>
    <row r="257" customFormat="false" ht="15" hidden="false" customHeight="false" outlineLevel="0" collapsed="false">
      <c r="A257" s="3" t="n">
        <v>35222</v>
      </c>
      <c r="B257" s="3" t="n">
        <v>224090</v>
      </c>
      <c r="C257" s="18" t="n">
        <v>650</v>
      </c>
      <c r="D257" s="18" t="n">
        <v>650</v>
      </c>
      <c r="E257" s="19" t="n">
        <v>338.154850276067</v>
      </c>
      <c r="F257" s="19" t="n">
        <v>358.241244178185</v>
      </c>
      <c r="G257" s="12" t="n">
        <f aca="false">E257/Combined_Summary!$B$23</f>
        <v>1352.61940110427</v>
      </c>
      <c r="H257" s="12" t="n">
        <f aca="false">F257/Combined_Summary!$B$23</f>
        <v>1432.96497671274</v>
      </c>
      <c r="I257" s="12" t="n">
        <f aca="false">H257-G257</f>
        <v>80.3455756084736</v>
      </c>
      <c r="J257" s="13" t="n">
        <f aca="false">IF(G257=0,"",I257/G257)</f>
        <v>0.0593999875669979</v>
      </c>
    </row>
    <row r="258" customFormat="false" ht="15" hidden="false" customHeight="false" outlineLevel="0" collapsed="false">
      <c r="A258" s="3" t="n">
        <v>35235</v>
      </c>
      <c r="B258" s="3" t="n">
        <v>806221</v>
      </c>
      <c r="C258" s="18" t="n">
        <v>1084</v>
      </c>
      <c r="D258" s="18" t="n">
        <v>1084</v>
      </c>
      <c r="E258" s="19" t="n">
        <v>290.264721659277</v>
      </c>
      <c r="F258" s="19" t="n">
        <v>323.808807886835</v>
      </c>
      <c r="G258" s="12" t="n">
        <f aca="false">E258/Combined_Summary!$B$23</f>
        <v>1161.05888663711</v>
      </c>
      <c r="H258" s="12" t="n">
        <f aca="false">F258/Combined_Summary!$B$23</f>
        <v>1295.23523154734</v>
      </c>
      <c r="I258" s="12" t="n">
        <f aca="false">H258-G258</f>
        <v>134.176344910231</v>
      </c>
      <c r="J258" s="13" t="n">
        <f aca="false">IF(G258=0,"",I258/G258)</f>
        <v>0.115563772393026</v>
      </c>
    </row>
    <row r="259" customFormat="false" ht="15" hidden="false" customHeight="false" outlineLevel="0" collapsed="false">
      <c r="A259" s="3" t="n">
        <v>35236</v>
      </c>
      <c r="B259" s="3" t="n">
        <v>224049</v>
      </c>
      <c r="C259" s="18" t="n">
        <v>782</v>
      </c>
      <c r="D259" s="18" t="n">
        <v>782</v>
      </c>
      <c r="E259" s="19" t="n">
        <v>335.905525475817</v>
      </c>
      <c r="F259" s="19" t="n">
        <v>361.282477698363</v>
      </c>
      <c r="G259" s="12" t="n">
        <f aca="false">E259/Combined_Summary!$B$23</f>
        <v>1343.62210190327</v>
      </c>
      <c r="H259" s="12" t="n">
        <f aca="false">F259/Combined_Summary!$B$23</f>
        <v>1445.12991079345</v>
      </c>
      <c r="I259" s="12" t="n">
        <f aca="false">H259-G259</f>
        <v>101.507808890184</v>
      </c>
      <c r="J259" s="13" t="n">
        <f aca="false">IF(G259=0,"",I259/G259)</f>
        <v>0.0755478856342093</v>
      </c>
    </row>
    <row r="260" customFormat="false" ht="15" hidden="false" customHeight="false" outlineLevel="0" collapsed="false">
      <c r="A260" s="3" t="n">
        <v>35237</v>
      </c>
      <c r="B260" s="3" t="n">
        <v>224039</v>
      </c>
      <c r="C260" s="18" t="n">
        <v>704</v>
      </c>
      <c r="D260" s="18" t="n">
        <v>704</v>
      </c>
      <c r="E260" s="19" t="n">
        <v>337.0695505955</v>
      </c>
      <c r="F260" s="19" t="n">
        <v>365.28425634991</v>
      </c>
      <c r="G260" s="12" t="n">
        <f aca="false">E260/Combined_Summary!$B$23</f>
        <v>1348.278202382</v>
      </c>
      <c r="H260" s="12" t="n">
        <f aca="false">F260/Combined_Summary!$B$23</f>
        <v>1461.13702539964</v>
      </c>
      <c r="I260" s="12" t="n">
        <f aca="false">H260-G260</f>
        <v>112.858823017641</v>
      </c>
      <c r="J260" s="13" t="n">
        <f aca="false">IF(G260=0,"",I260/G260)</f>
        <v>0.083705887122</v>
      </c>
    </row>
    <row r="261" customFormat="false" ht="15" hidden="false" customHeight="false" outlineLevel="0" collapsed="false">
      <c r="A261" s="3" t="n">
        <v>35247</v>
      </c>
      <c r="B261" s="3" t="n">
        <v>224086</v>
      </c>
      <c r="C261" s="18" t="n">
        <v>574</v>
      </c>
      <c r="D261" s="18" t="n">
        <v>574</v>
      </c>
      <c r="E261" s="19" t="n">
        <v>311.688842042398</v>
      </c>
      <c r="F261" s="19" t="n">
        <v>340.674429863588</v>
      </c>
      <c r="G261" s="12" t="n">
        <f aca="false">E261/Combined_Summary!$B$23</f>
        <v>1246.75536816959</v>
      </c>
      <c r="H261" s="12" t="n">
        <f aca="false">F261/Combined_Summary!$B$23</f>
        <v>1362.69771945435</v>
      </c>
      <c r="I261" s="12" t="n">
        <f aca="false">H261-G261</f>
        <v>115.942351284758</v>
      </c>
      <c r="J261" s="13" t="n">
        <f aca="false">IF(G261=0,"",I261/G261)</f>
        <v>0.0929952693566323</v>
      </c>
    </row>
    <row r="262" customFormat="false" ht="15" hidden="false" customHeight="false" outlineLevel="0" collapsed="false">
      <c r="A262" s="3" t="n">
        <v>35259</v>
      </c>
      <c r="B262" s="3" t="n">
        <v>224078</v>
      </c>
      <c r="C262" s="18" t="n">
        <v>1023</v>
      </c>
      <c r="D262" s="18" t="n">
        <v>1023</v>
      </c>
      <c r="E262" s="19" t="n">
        <v>327.331863593496</v>
      </c>
      <c r="F262" s="19" t="n">
        <v>349.003973087374</v>
      </c>
      <c r="G262" s="12" t="n">
        <f aca="false">E262/Combined_Summary!$B$23</f>
        <v>1309.32745437398</v>
      </c>
      <c r="H262" s="12" t="n">
        <f aca="false">F262/Combined_Summary!$B$23</f>
        <v>1396.0158923495</v>
      </c>
      <c r="I262" s="12" t="n">
        <f aca="false">H262-G262</f>
        <v>86.6884379755136</v>
      </c>
      <c r="J262" s="13" t="n">
        <f aca="false">IF(G262=0,"",I262/G262)</f>
        <v>0.0662083710884693</v>
      </c>
    </row>
    <row r="263" customFormat="false" ht="15" hidden="false" customHeight="false" outlineLevel="0" collapsed="false">
      <c r="A263" s="3" t="n">
        <v>35275</v>
      </c>
      <c r="B263" s="3" t="n">
        <v>224050</v>
      </c>
      <c r="C263" s="18" t="n">
        <v>672</v>
      </c>
      <c r="D263" s="18" t="n">
        <v>672</v>
      </c>
      <c r="E263" s="19" t="n">
        <v>324.744386883009</v>
      </c>
      <c r="F263" s="19" t="n">
        <v>353.133366346359</v>
      </c>
      <c r="G263" s="12" t="n">
        <f aca="false">E263/Combined_Summary!$B$23</f>
        <v>1298.97754753204</v>
      </c>
      <c r="H263" s="12" t="n">
        <f aca="false">F263/Combined_Summary!$B$23</f>
        <v>1412.53346538544</v>
      </c>
      <c r="I263" s="12" t="n">
        <f aca="false">H263-G263</f>
        <v>113.555917853401</v>
      </c>
      <c r="J263" s="13" t="n">
        <f aca="false">IF(G263=0,"",I263/G263)</f>
        <v>0.0874194616135971</v>
      </c>
    </row>
    <row r="264" customFormat="false" ht="15" hidden="false" customHeight="false" outlineLevel="0" collapsed="false">
      <c r="A264" s="3" t="n">
        <v>35276</v>
      </c>
      <c r="B264" s="3" t="n">
        <v>224009</v>
      </c>
      <c r="C264" s="18" t="n">
        <v>1254</v>
      </c>
      <c r="D264" s="18" t="n">
        <v>1254</v>
      </c>
      <c r="E264" s="19" t="n">
        <v>333.572646115195</v>
      </c>
      <c r="F264" s="19" t="n">
        <v>360.705980310029</v>
      </c>
      <c r="G264" s="12" t="n">
        <f aca="false">E264/Combined_Summary!$B$23</f>
        <v>1334.29058446078</v>
      </c>
      <c r="H264" s="12" t="n">
        <f aca="false">F264/Combined_Summary!$B$23</f>
        <v>1442.82392124012</v>
      </c>
      <c r="I264" s="12" t="n">
        <f aca="false">H264-G264</f>
        <v>108.533336779338</v>
      </c>
      <c r="J264" s="13" t="n">
        <f aca="false">IF(G264=0,"",I264/G264)</f>
        <v>0.0813416043276649</v>
      </c>
    </row>
    <row r="265" customFormat="false" ht="15" hidden="false" customHeight="false" outlineLevel="0" collapsed="false">
      <c r="A265" s="3" t="n">
        <v>35285</v>
      </c>
      <c r="B265" s="3" t="n">
        <v>806222</v>
      </c>
      <c r="C265" s="18" t="n">
        <v>946</v>
      </c>
      <c r="D265" s="18" t="n">
        <v>946</v>
      </c>
      <c r="E265" s="19" t="n">
        <v>345.567509403188</v>
      </c>
      <c r="F265" s="19" t="n">
        <v>374.395678481894</v>
      </c>
      <c r="G265" s="12" t="n">
        <f aca="false">E265/Combined_Summary!$B$23</f>
        <v>1382.27003761275</v>
      </c>
      <c r="H265" s="12" t="n">
        <f aca="false">F265/Combined_Summary!$B$23</f>
        <v>1497.58271392758</v>
      </c>
      <c r="I265" s="12" t="n">
        <f aca="false">H265-G265</f>
        <v>115.312676314824</v>
      </c>
      <c r="J265" s="13" t="n">
        <f aca="false">IF(G265=0,"",I265/G265)</f>
        <v>0.0834226838295464</v>
      </c>
    </row>
    <row r="266" customFormat="false" ht="15" hidden="false" customHeight="false" outlineLevel="0" collapsed="false">
      <c r="A266" s="3" t="n">
        <v>35286</v>
      </c>
      <c r="B266" s="3" t="n">
        <v>224102</v>
      </c>
      <c r="C266" s="18" t="n">
        <v>775</v>
      </c>
      <c r="D266" s="18" t="n">
        <v>775</v>
      </c>
      <c r="E266" s="19" t="n">
        <v>309.888775383734</v>
      </c>
      <c r="F266" s="19" t="n">
        <v>341.169517458024</v>
      </c>
      <c r="G266" s="12" t="n">
        <f aca="false">E266/Combined_Summary!$B$23</f>
        <v>1239.55510153494</v>
      </c>
      <c r="H266" s="12" t="n">
        <f aca="false">F266/Combined_Summary!$B$23</f>
        <v>1364.67806983209</v>
      </c>
      <c r="I266" s="12" t="n">
        <f aca="false">H266-G266</f>
        <v>125.122968297158</v>
      </c>
      <c r="J266" s="13" t="n">
        <f aca="false">IF(G266=0,"",I266/G266)</f>
        <v>0.100941836423584</v>
      </c>
    </row>
    <row r="267" customFormat="false" ht="15" hidden="false" customHeight="false" outlineLevel="0" collapsed="false">
      <c r="A267" s="3" t="n">
        <v>35287</v>
      </c>
      <c r="B267" s="3" t="n">
        <v>232141</v>
      </c>
      <c r="C267" s="18" t="n">
        <v>484</v>
      </c>
      <c r="D267" s="18" t="n">
        <v>484</v>
      </c>
      <c r="E267" s="19" t="n">
        <v>301.831270541041</v>
      </c>
      <c r="F267" s="19" t="n">
        <v>337.166828029412</v>
      </c>
      <c r="G267" s="12" t="n">
        <f aca="false">E267/Combined_Summary!$B$23</f>
        <v>1207.32508216417</v>
      </c>
      <c r="H267" s="12" t="n">
        <f aca="false">F267/Combined_Summary!$B$23</f>
        <v>1348.66731211765</v>
      </c>
      <c r="I267" s="12" t="n">
        <f aca="false">H267-G267</f>
        <v>141.342229953482</v>
      </c>
      <c r="J267" s="13" t="n">
        <f aca="false">IF(G267=0,"",I267/G267)</f>
        <v>0.117070565369289</v>
      </c>
    </row>
    <row r="268" customFormat="false" ht="15" hidden="false" customHeight="false" outlineLevel="0" collapsed="false">
      <c r="A268" s="3" t="n">
        <v>35288</v>
      </c>
      <c r="B268" s="3" t="n">
        <v>223902</v>
      </c>
      <c r="C268" s="18" t="n">
        <v>940</v>
      </c>
      <c r="D268" s="18" t="n">
        <v>940</v>
      </c>
      <c r="E268" s="19" t="n">
        <v>145.001661726769</v>
      </c>
      <c r="F268" s="19" t="n">
        <v>193.322734905811</v>
      </c>
      <c r="G268" s="12" t="n">
        <f aca="false">E268/Combined_Summary!$B$23</f>
        <v>580.006646907076</v>
      </c>
      <c r="H268" s="12" t="n">
        <f aca="false">F268/Combined_Summary!$B$23</f>
        <v>773.290939623244</v>
      </c>
      <c r="I268" s="12" t="n">
        <f aca="false">H268-G268</f>
        <v>193.284292716168</v>
      </c>
      <c r="J268" s="13" t="n">
        <f aca="false">IF(G268=0,"",I268/G268)</f>
        <v>0.333244961496338</v>
      </c>
    </row>
    <row r="269" customFormat="false" ht="15" hidden="false" customHeight="false" outlineLevel="0" collapsed="false">
      <c r="A269" s="3" t="n">
        <v>35297</v>
      </c>
      <c r="B269" s="3" t="n">
        <v>224355</v>
      </c>
      <c r="C269" s="18" t="n">
        <v>634</v>
      </c>
      <c r="D269" s="18" t="n">
        <v>634</v>
      </c>
      <c r="E269" s="19" t="n">
        <v>291.080219040158</v>
      </c>
      <c r="F269" s="19" t="n">
        <v>325.903298868366</v>
      </c>
      <c r="G269" s="12" t="n">
        <f aca="false">E269/Combined_Summary!$B$23</f>
        <v>1164.32087616063</v>
      </c>
      <c r="H269" s="12" t="n">
        <f aca="false">F269/Combined_Summary!$B$23</f>
        <v>1303.61319547346</v>
      </c>
      <c r="I269" s="12" t="n">
        <f aca="false">H269-G269</f>
        <v>139.292319312832</v>
      </c>
      <c r="J269" s="13" t="n">
        <f aca="false">IF(G269=0,"",I269/G269)</f>
        <v>0.119633961878405</v>
      </c>
    </row>
    <row r="270" customFormat="false" ht="15" hidden="false" customHeight="false" outlineLevel="0" collapsed="false">
      <c r="A270" s="3" t="n">
        <v>35298</v>
      </c>
      <c r="B270" s="3" t="n">
        <v>224192</v>
      </c>
      <c r="C270" s="18" t="n">
        <v>1077</v>
      </c>
      <c r="D270" s="18" t="n">
        <v>1077</v>
      </c>
      <c r="E270" s="19" t="n">
        <v>324.914877814503</v>
      </c>
      <c r="F270" s="19" t="n">
        <v>353.598954082974</v>
      </c>
      <c r="G270" s="12" t="n">
        <f aca="false">E270/Combined_Summary!$B$23</f>
        <v>1299.65951125801</v>
      </c>
      <c r="H270" s="12" t="n">
        <f aca="false">F270/Combined_Summary!$B$23</f>
        <v>1414.3958163319</v>
      </c>
      <c r="I270" s="12" t="n">
        <f aca="false">H270-G270</f>
        <v>114.736305073886</v>
      </c>
      <c r="J270" s="13" t="n">
        <f aca="false">IF(G270=0,"",I270/G270)</f>
        <v>0.0882818184916962</v>
      </c>
    </row>
    <row r="271" customFormat="false" ht="15" hidden="false" customHeight="false" outlineLevel="0" collapsed="false">
      <c r="A271" s="3" t="n">
        <v>35308</v>
      </c>
      <c r="B271" s="3" t="n">
        <v>224262</v>
      </c>
      <c r="C271" s="18" t="n">
        <v>354</v>
      </c>
      <c r="D271" s="18" t="n">
        <v>354</v>
      </c>
      <c r="E271" s="19" t="n">
        <v>349.568001515448</v>
      </c>
      <c r="F271" s="19" t="n">
        <v>386.344448887022</v>
      </c>
      <c r="G271" s="12" t="n">
        <f aca="false">E271/Combined_Summary!$B$23</f>
        <v>1398.27200606179</v>
      </c>
      <c r="H271" s="12" t="n">
        <f aca="false">F271/Combined_Summary!$B$23</f>
        <v>1545.37779554809</v>
      </c>
      <c r="I271" s="12" t="n">
        <f aca="false">H271-G271</f>
        <v>147.105789486298</v>
      </c>
      <c r="J271" s="13" t="n">
        <f aca="false">IF(G271=0,"",I271/G271)</f>
        <v>0.105205417006537</v>
      </c>
    </row>
    <row r="272" customFormat="false" ht="15" hidden="false" customHeight="false" outlineLevel="0" collapsed="false">
      <c r="A272" s="3" t="n">
        <v>35309</v>
      </c>
      <c r="B272" s="3" t="n">
        <v>223975</v>
      </c>
      <c r="C272" s="18" t="n">
        <v>516</v>
      </c>
      <c r="D272" s="18" t="n">
        <v>516</v>
      </c>
      <c r="E272" s="19" t="n">
        <v>328.245164072791</v>
      </c>
      <c r="F272" s="19" t="n">
        <v>348.252578350925</v>
      </c>
      <c r="G272" s="12" t="n">
        <f aca="false">E272/Combined_Summary!$B$23</f>
        <v>1312.98065629116</v>
      </c>
      <c r="H272" s="12" t="n">
        <f aca="false">F272/Combined_Summary!$B$23</f>
        <v>1393.0103134037</v>
      </c>
      <c r="I272" s="12" t="n">
        <f aca="false">H272-G272</f>
        <v>80.0296571125355</v>
      </c>
      <c r="J272" s="13" t="n">
        <f aca="false">IF(G272=0,"",I272/G272)</f>
        <v>0.06095265511268</v>
      </c>
    </row>
    <row r="273" customFormat="false" ht="15" hidden="false" customHeight="false" outlineLevel="0" collapsed="false">
      <c r="A273" s="3" t="n">
        <v>35319</v>
      </c>
      <c r="B273" s="3" t="n">
        <v>224145</v>
      </c>
      <c r="C273" s="18" t="n">
        <v>876</v>
      </c>
      <c r="D273" s="18" t="n">
        <v>876</v>
      </c>
      <c r="E273" s="19" t="n">
        <v>332.63482708256</v>
      </c>
      <c r="F273" s="19" t="n">
        <v>356.286405136596</v>
      </c>
      <c r="G273" s="12" t="n">
        <f aca="false">E273/Combined_Summary!$B$23</f>
        <v>1330.53930833024</v>
      </c>
      <c r="H273" s="12" t="n">
        <f aca="false">F273/Combined_Summary!$B$23</f>
        <v>1425.14562054638</v>
      </c>
      <c r="I273" s="12" t="n">
        <f aca="false">H273-G273</f>
        <v>94.6063122161447</v>
      </c>
      <c r="J273" s="13" t="n">
        <f aca="false">IF(G273=0,"",I273/G273)</f>
        <v>0.0711037333687427</v>
      </c>
    </row>
    <row r="274" customFormat="false" ht="15" hidden="false" customHeight="false" outlineLevel="0" collapsed="false">
      <c r="A274" s="3" t="n">
        <v>35320</v>
      </c>
      <c r="B274" s="3" t="n">
        <v>795553</v>
      </c>
      <c r="C274" s="18" t="n">
        <v>1136</v>
      </c>
      <c r="D274" s="18" t="n">
        <v>1136</v>
      </c>
      <c r="E274" s="19" t="n">
        <v>180.661011125</v>
      </c>
      <c r="F274" s="19" t="n">
        <v>235.541663351193</v>
      </c>
      <c r="G274" s="12" t="n">
        <f aca="false">E274/Combined_Summary!$B$23</f>
        <v>722.644044500002</v>
      </c>
      <c r="H274" s="12" t="n">
        <f aca="false">F274/Combined_Summary!$B$23</f>
        <v>942.166653404773</v>
      </c>
      <c r="I274" s="12" t="n">
        <f aca="false">H274-G274</f>
        <v>219.522608904772</v>
      </c>
      <c r="J274" s="13" t="n">
        <f aca="false">IF(G274=0,"",I274/G274)</f>
        <v>0.303776957100172</v>
      </c>
    </row>
    <row r="275" customFormat="false" ht="15" hidden="false" customHeight="false" outlineLevel="0" collapsed="false">
      <c r="A275" s="3" t="n">
        <v>35326</v>
      </c>
      <c r="B275" s="3" t="n">
        <v>224365</v>
      </c>
      <c r="C275" s="18" t="n">
        <v>598</v>
      </c>
      <c r="D275" s="18" t="n">
        <v>598</v>
      </c>
      <c r="E275" s="19" t="n">
        <v>295.030941328476</v>
      </c>
      <c r="F275" s="19" t="n">
        <v>325.349307694961</v>
      </c>
      <c r="G275" s="12" t="n">
        <f aca="false">E275/Combined_Summary!$B$23</f>
        <v>1180.1237653139</v>
      </c>
      <c r="H275" s="12" t="n">
        <f aca="false">F275/Combined_Summary!$B$23</f>
        <v>1301.39723077985</v>
      </c>
      <c r="I275" s="12" t="n">
        <f aca="false">H275-G275</f>
        <v>121.273465465941</v>
      </c>
      <c r="J275" s="13" t="n">
        <f aca="false">IF(G275=0,"",I275/G275)</f>
        <v>0.102763344854498</v>
      </c>
    </row>
    <row r="276" customFormat="false" ht="15" hidden="false" customHeight="false" outlineLevel="0" collapsed="false">
      <c r="A276" s="3" t="n">
        <v>35336</v>
      </c>
      <c r="B276" s="3" t="n">
        <v>224288</v>
      </c>
      <c r="C276" s="18" t="n">
        <v>503</v>
      </c>
      <c r="D276" s="18" t="n">
        <v>503</v>
      </c>
      <c r="E276" s="19" t="n">
        <v>323.971912573631</v>
      </c>
      <c r="F276" s="19" t="n">
        <v>351.044615758816</v>
      </c>
      <c r="G276" s="12" t="n">
        <f aca="false">E276/Combined_Summary!$B$23</f>
        <v>1295.88765029452</v>
      </c>
      <c r="H276" s="12" t="n">
        <f aca="false">F276/Combined_Summary!$B$23</f>
        <v>1404.17846303526</v>
      </c>
      <c r="I276" s="12" t="n">
        <f aca="false">H276-G276</f>
        <v>108.290812740743</v>
      </c>
      <c r="J276" s="13" t="n">
        <f aca="false">IF(G276=0,"",I276/G276)</f>
        <v>0.0835649700929945</v>
      </c>
    </row>
    <row r="277" customFormat="false" ht="15" hidden="false" customHeight="false" outlineLevel="0" collapsed="false">
      <c r="A277" s="3" t="n">
        <v>35337</v>
      </c>
      <c r="B277" s="3" t="n">
        <v>224187</v>
      </c>
      <c r="C277" s="18" t="n">
        <v>872</v>
      </c>
      <c r="D277" s="18" t="n">
        <v>872</v>
      </c>
      <c r="E277" s="19" t="n">
        <v>307.80363558848</v>
      </c>
      <c r="F277" s="19" t="n">
        <v>329.289919205762</v>
      </c>
      <c r="G277" s="12" t="n">
        <f aca="false">E277/Combined_Summary!$B$23</f>
        <v>1231.21454235392</v>
      </c>
      <c r="H277" s="12" t="n">
        <f aca="false">F277/Combined_Summary!$B$23</f>
        <v>1317.15967682305</v>
      </c>
      <c r="I277" s="12" t="n">
        <f aca="false">H277-G277</f>
        <v>85.9451344691283</v>
      </c>
      <c r="J277" s="13" t="n">
        <f aca="false">IF(G277=0,"",I277/G277)</f>
        <v>0.0698051651540865</v>
      </c>
    </row>
    <row r="278" customFormat="false" ht="15" hidden="false" customHeight="false" outlineLevel="0" collapsed="false">
      <c r="A278" s="3" t="n">
        <v>35345</v>
      </c>
      <c r="B278" s="3" t="n">
        <v>224284</v>
      </c>
      <c r="C278" s="18" t="n">
        <v>897</v>
      </c>
      <c r="D278" s="18" t="n">
        <v>897</v>
      </c>
      <c r="E278" s="19" t="n">
        <v>332.291816724184</v>
      </c>
      <c r="F278" s="19" t="n">
        <v>359.163278696662</v>
      </c>
      <c r="G278" s="12" t="n">
        <f aca="false">E278/Combined_Summary!$B$23</f>
        <v>1329.16726689674</v>
      </c>
      <c r="H278" s="12" t="n">
        <f aca="false">F278/Combined_Summary!$B$23</f>
        <v>1436.65311478665</v>
      </c>
      <c r="I278" s="12" t="n">
        <f aca="false">H278-G278</f>
        <v>107.485847889913</v>
      </c>
      <c r="J278" s="13" t="n">
        <f aca="false">IF(G278=0,"",I278/G278)</f>
        <v>0.0808670590729069</v>
      </c>
    </row>
    <row r="279" customFormat="false" ht="15" hidden="false" customHeight="false" outlineLevel="0" collapsed="false">
      <c r="A279" s="3" t="n">
        <v>35346</v>
      </c>
      <c r="B279" s="3" t="n">
        <v>224177</v>
      </c>
      <c r="C279" s="18" t="n">
        <v>773</v>
      </c>
      <c r="D279" s="18" t="n">
        <v>773</v>
      </c>
      <c r="E279" s="19" t="n">
        <v>255.958476847541</v>
      </c>
      <c r="F279" s="19" t="n">
        <v>299.471324560405</v>
      </c>
      <c r="G279" s="12" t="n">
        <f aca="false">E279/Combined_Summary!$B$23</f>
        <v>1023.83390739017</v>
      </c>
      <c r="H279" s="12" t="n">
        <f aca="false">F279/Combined_Summary!$B$23</f>
        <v>1197.88529824162</v>
      </c>
      <c r="I279" s="12" t="n">
        <f aca="false">H279-G279</f>
        <v>174.051390851454</v>
      </c>
      <c r="J279" s="13" t="n">
        <f aca="false">IF(G279=0,"",I279/G279)</f>
        <v>0.169999635287646</v>
      </c>
    </row>
    <row r="280" customFormat="false" ht="15" hidden="false" customHeight="false" outlineLevel="0" collapsed="false">
      <c r="A280" s="3" t="n">
        <v>35366</v>
      </c>
      <c r="B280" s="3" t="n">
        <v>232142</v>
      </c>
      <c r="C280" s="18" t="n">
        <v>546</v>
      </c>
      <c r="D280" s="18" t="n">
        <v>546</v>
      </c>
      <c r="E280" s="19" t="n">
        <v>318.189969171098</v>
      </c>
      <c r="F280" s="19" t="n">
        <v>352.074102660239</v>
      </c>
      <c r="G280" s="12" t="n">
        <f aca="false">E280/Combined_Summary!$B$23</f>
        <v>1272.75987668439</v>
      </c>
      <c r="H280" s="12" t="n">
        <f aca="false">F280/Combined_Summary!$B$23</f>
        <v>1408.29641064095</v>
      </c>
      <c r="I280" s="12" t="n">
        <f aca="false">H280-G280</f>
        <v>135.536533956562</v>
      </c>
      <c r="J280" s="13" t="n">
        <f aca="false">IF(G280=0,"",I280/G280)</f>
        <v>0.106490262962753</v>
      </c>
    </row>
  </sheetData>
  <autoFilter ref="A1:J28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2026-10-11T20:57:04Z</dcterms:created>
  <dc:creator>openpyxl</dc:creator>
  <dc:description/>
  <dc:language>en-US</dc:language>
  <cp:lastModifiedBy/>
  <dcterms:modified xsi:type="dcterms:W3CDTF">2026-10-11T20:57:05Z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